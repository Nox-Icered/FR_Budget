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FDA777F6-E900-4338-9821-9F9104F6167A}" xr6:coauthVersionLast="47" xr6:coauthVersionMax="47" xr10:uidLastSave="{00000000-0000-0000-0000-000000000000}"/>
  <bookViews>
    <workbookView xWindow="-120" yWindow="-120" windowWidth="29040" windowHeight="15720" tabRatio="817" activeTab="5" xr2:uid="{00000000-000D-0000-FFFF-FFFF00000000}"/>
  </bookViews>
  <sheets>
    <sheet name="lisez moi" sheetId="29" r:id="rId1"/>
    <sheet name="Graphique 1" sheetId="1" r:id="rId2"/>
    <sheet name="Tableau 1" sheetId="4" r:id="rId3"/>
    <sheet name="Tableau 2" sheetId="44" r:id="rId4"/>
    <sheet name="Tableau 3" sheetId="30" r:id="rId5"/>
    <sheet name="Tableau 4" sheetId="4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42" l="1"/>
  <c r="L5" i="42"/>
  <c r="E5" i="44"/>
  <c r="D5" i="44"/>
  <c r="R27" i="44" l="1"/>
</calcChain>
</file>

<file path=xl/sharedStrings.xml><?xml version="1.0" encoding="utf-8"?>
<sst xmlns="http://schemas.openxmlformats.org/spreadsheetml/2006/main" count="172" uniqueCount="113">
  <si>
    <t>Traitements et salaires</t>
  </si>
  <si>
    <t>Pensions et rentes</t>
  </si>
  <si>
    <t>Bénéfices non commerciaux</t>
  </si>
  <si>
    <t>Revenus fonciers</t>
  </si>
  <si>
    <t>Bénéfices agricoles</t>
  </si>
  <si>
    <t>Total</t>
  </si>
  <si>
    <t>Pour tout renseignement, vous pouvez nous contacter par e-mail à l'adresse suivante : cabinet.communication@dgfip.finances.gouv.fr</t>
  </si>
  <si>
    <t>Contenu des onglets</t>
  </si>
  <si>
    <t>Champ</t>
  </si>
  <si>
    <t>Sources</t>
  </si>
  <si>
    <t>Année des revenus</t>
  </si>
  <si>
    <t>Emploi d'un salarié à domicile</t>
  </si>
  <si>
    <t>Frais de garde d'enfant hors du domicile</t>
  </si>
  <si>
    <t>Versement de cotisations syndicales</t>
  </si>
  <si>
    <t>Dons à des organismes d'intérêt général</t>
  </si>
  <si>
    <t>Investissements productifs outre-mer</t>
  </si>
  <si>
    <t>Frais de scolarisation des enfants</t>
  </si>
  <si>
    <t>Frais liés à la dépendance</t>
  </si>
  <si>
    <t>Dons aux personnes en difficulté</t>
  </si>
  <si>
    <t>2018(*)</t>
  </si>
  <si>
    <t>Revenus de capitaux mobiliers</t>
  </si>
  <si>
    <t>Revenus divers (dont plus-values)</t>
  </si>
  <si>
    <t>2019(*)</t>
  </si>
  <si>
    <t>Souscription capital PME</t>
  </si>
  <si>
    <t>Bénéfices industriels 
et commerciaux</t>
  </si>
  <si>
    <t>en millions</t>
  </si>
  <si>
    <t>en Md€</t>
  </si>
  <si>
    <t xml:space="preserve">Montant moyen par foyer bénéficiaire </t>
  </si>
  <si>
    <t xml:space="preserve">Montants accordés </t>
  </si>
  <si>
    <t xml:space="preserve">Nombre de foyers bénéficiaires </t>
  </si>
  <si>
    <t>Taux d'imposition moyen du revenu</t>
  </si>
  <si>
    <t>Répartition des foyers selon les déciles de revenu par part</t>
  </si>
  <si>
    <t>Catégorie de revenus déclarés</t>
  </si>
  <si>
    <t>Répartition  
(en %)</t>
  </si>
  <si>
    <t>1er dixième</t>
  </si>
  <si>
    <t>2e  dixième</t>
  </si>
  <si>
    <t>3e  dixième</t>
  </si>
  <si>
    <t>4e  dixième</t>
  </si>
  <si>
    <t>5e  dixième</t>
  </si>
  <si>
    <t>6e  dixième</t>
  </si>
  <si>
    <t>8e  dixième</t>
  </si>
  <si>
    <t>9e  dixième</t>
  </si>
  <si>
    <t>dernier  dixième</t>
  </si>
  <si>
    <t>IR net</t>
  </si>
  <si>
    <t>RFR par part fiscale</t>
  </si>
  <si>
    <t>Montant (en Md€)</t>
  </si>
  <si>
    <t>Impôt hors barème</t>
  </si>
  <si>
    <t>Impôt au barème</t>
  </si>
  <si>
    <t xml:space="preserve">        Dont revenus non professionnels (*)</t>
  </si>
  <si>
    <t xml:space="preserve">       Dont revenus non professionnels (*)</t>
  </si>
  <si>
    <t>Moyenne (en €)</t>
  </si>
  <si>
    <t>Évolution (en %)</t>
  </si>
  <si>
    <t>Avant RICI (en %)</t>
  </si>
  <si>
    <t>Après RICI (en %)</t>
  </si>
  <si>
    <t>Évolution annuelle (en %)</t>
  </si>
  <si>
    <t>Crédits d'impôt</t>
  </si>
  <si>
    <t>Réductions d'impôt</t>
  </si>
  <si>
    <t>Crédits et réductions d'impôt</t>
  </si>
  <si>
    <t>Évolution</t>
  </si>
  <si>
    <t>en %</t>
  </si>
  <si>
    <t>2024(**)</t>
  </si>
  <si>
    <t>CEHR</t>
  </si>
  <si>
    <t>RICItot_neutralisations</t>
  </si>
  <si>
    <t>nbpart</t>
  </si>
  <si>
    <t>7e  dixième</t>
  </si>
  <si>
    <t>Tableau 1 : Evolution et décomposition des revenus déclarés des foyers fiscaux perçus en 2024</t>
  </si>
  <si>
    <t>en €</t>
  </si>
  <si>
    <t>Lecture : Les traitements et salaires représentent 62,0 % des revenus déclarés par les foyers fiscaux en 2024 au titre des revenus perçus en 2023,</t>
  </si>
  <si>
    <t>L’impôt sur les revenus perçus en 2024</t>
  </si>
  <si>
    <t>DGFiP Statistiques n°41 - Novembre 2025</t>
  </si>
  <si>
    <t>Contribution à l'évolution (point de %)</t>
  </si>
  <si>
    <t>RICI hors PFU (*)</t>
  </si>
  <si>
    <t>RI fonciers (*)</t>
  </si>
  <si>
    <t>Imposition des revenus de source étrangère (**)</t>
  </si>
  <si>
    <t>RICI</t>
  </si>
  <si>
    <t>dont dernier  centième</t>
  </si>
  <si>
    <t>dont dernier  millième</t>
  </si>
  <si>
    <t>Impôt hors barème
(+ CEHR (*) )</t>
  </si>
  <si>
    <t>34,9  (38,8)</t>
  </si>
  <si>
    <t>40,2  (38,4)</t>
  </si>
  <si>
    <t>2 290  (+ 476)</t>
  </si>
  <si>
    <t>135 784  (+ 45 366)</t>
  </si>
  <si>
    <t>19 423  (+ 4 754)</t>
  </si>
  <si>
    <t>35,8  (40,1)</t>
  </si>
  <si>
    <t>10,32 (+ 1,98)</t>
  </si>
  <si>
    <t>Contribution
(en point de %)</t>
  </si>
  <si>
    <t>9,53 (+ 1,98)</t>
  </si>
  <si>
    <t>8,08 (+ 1,98)</t>
  </si>
  <si>
    <t>5,65 (+ 1,89)</t>
  </si>
  <si>
    <t>33,4 (40,1)</t>
  </si>
  <si>
    <t>29,4 (40,1)</t>
  </si>
  <si>
    <t>21,8 (38,0)</t>
  </si>
  <si>
    <t>Tableau 4 : Impôt moyen après RICI, RICI moyens et part de l’impôt avant et après RICI dans le RFR, par décile de RFR par part, revenus 2024</t>
  </si>
  <si>
    <t>Lecture : Les 10 % des foyers fiscaux les plus modestes perçoivent en moyenne 31 euros au titre de l’impôt sur le revenu.</t>
  </si>
  <si>
    <t>Source : DGFiP, fichier des déclarations de revenus (POTE) 2024, 3e émission.</t>
  </si>
  <si>
    <t>Champ : Ensemble des foyers fiscaux déclarant l’IR, données arrêtées à septembre, hors reliquats ultérieurs.</t>
  </si>
  <si>
    <t>Champ : Ensemble des revenus bruts déclarés, y compris abattements sur les chiffres d’affaires pour les indépendants, ensemble des foyers fiscaux déclarant l’IR, données arrêtées à septembre, hors reliquats ultérieurs</t>
  </si>
  <si>
    <t>Tableau 3 : Principaux crédits et réductions d’impôt pour l'impôt sur revenu 2024</t>
  </si>
  <si>
    <t>Lecture : Les 10 % des foyers fiscaux les plus aisés s'acquittent en moyenne de 476 euros au titre de la contribution exceptionnelle sur les très haut revenus.</t>
  </si>
  <si>
    <t xml:space="preserve">Note : : Le RFR par part fiscale correspond au revenu fiscal de référence du foyer rapporté à son nombre de parts fiscales. Les réductions d’impôt et crédits d’impôt (RICI) sont des dispositifs fiscaux permettant d’abaisser le montant d’impôt sur le revenu dont peuvent bénéficier les contribuables pour certaines dépenses engagées.
(*) Contribution Exceptionnelle sur les Hauts Revenus
(**) Non significatif : Le RFR n’inclut pas les prestations sociales non imposables qui jouent un rôle majeur dans la redistribution vers les revenus modestes. Celui des foyers sous le 1er décile de revenu est donc très faible.
</t>
  </si>
  <si>
    <t>Tableau 2 : RFR par part fiscale, Impôt au barème, impôt hors barème et CEHR, total et moyen par décile de RFR par part, revenus 2024</t>
  </si>
  <si>
    <t>Lecture : En 2024, 5,15 millions de foyers ont bénéficié du crédit d’impôt pour l’emploi d’un salarié à domicile, pour un montant de 6,52 milliards d’euros, soit 1 204 euros en moyenne par foyer fiscal bénéficiaire.</t>
  </si>
  <si>
    <t>Note : : Les réductions d’impôt et crédits d’impôt (RICI) sont des dispositifs fiscaux permettant d’abaisser le montant d’impôt sur le revenu dont peuvent bénéficier les contribuables pour certaines dépenses engagées.
(*) Dispositifs locatifs Pinel, Denormandie, Scellier et Duflot.
(**) Les RI sur les revenus de source étrangère permettent d’éviter une double imposition lorsque les revenus sont déjà taxés à l’étranger. Elles se traduisent souvent par un CI ou une exonération selon les conventions fiscales.</t>
  </si>
  <si>
    <t>Note : : L’évolution de l’IR net est une formule stricte du taux de variation. Pour les foyers du 1er dixième qui avaient reçu 33 € de remboursement en 2023 et qui reçoivent 31 € en 2024, l’évolution de leur IR net est donc négative.
(*) Hors RICI PFU, car il n'a pas d'impact sur le montant des recettes nettes d'IR, mais sert à éviter la double imposition des RCM
(**) Non significatif : Le taux d’imposition est calculé à partir du RFR qui n’est pas significatif pour ce décile de revenu.</t>
  </si>
  <si>
    <t>Lecture : En 2017 le montant d’impôt au barème récolté a augmenté de 2,2 Md€, celui de RICI, a augmenté de 2 Md€. Au global, l’augmentation du montant d’IR net en 2017 est quasi nulle.</t>
  </si>
  <si>
    <t>Graphique 1 : Évolution du montant des principales composantes de l’impôt sur le revenu depuis 2016</t>
  </si>
  <si>
    <t>Impôt total net</t>
  </si>
  <si>
    <t>Autres (***)</t>
  </si>
  <si>
    <t>Le champ de cette publication concerne l'ensemble des foyers fiscaux déclarant ayant déclaré l'impôt sur le revenu entre 2016 et 2024.</t>
  </si>
  <si>
    <t>Les données utilisées sont des données fiscales, issues des déclarations d’impôt sur les revenus 2016 à 2024.</t>
  </si>
  <si>
    <t>Tableau 2 : Impôt au barème et impôt hors barème par décile de RFR par part, revenus 2024</t>
  </si>
  <si>
    <t>Note : Les données présentées ici sont celles indiquées sur les avis d’imposition. 
(*) Hors crédit d’impôt de modernisation du recouvrement (CIMR) ainsi que leurs compléments et reprises .
(**) Pour 2024 les données proviennent de la 3e émission de l’IR et sont donc encore provisoires.
(***) Il s’agit de petits montants correspondant à une variété de petites impositions [encadré 1]</t>
  </si>
  <si>
    <t>Source : DGFiP, fichier des déclarations de revenus (POTE), 3e émission.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</si>
</sst>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_-;\-* #,##0_-;_-* &quot;-&quot;??_-;_-@_-"/>
    <numFmt numFmtId="165" formatCode="0.0%"/>
    <numFmt numFmtId="166" formatCode="0.0"/>
    <numFmt numFmtId="167" formatCode="#,##0.0"/>
    <numFmt numFmtId="168" formatCode="0%;0%;\-0%"/>
    <numFmt numFmtId="169" formatCode="#,##0_ ;\-#,##0\ "/>
    <numFmt numFmtId="170" formatCode="#,##0,,,"/>
    <numFmt numFmtId="171" formatCode="#,##0.00,,,"/>
    <numFmt numFmtId="172" formatCode="#,##0.00,,"/>
    <numFmt numFmtId="173" formatCode="#,##0.00\ \ \ \ "/>
  </numFmts>
  <fonts count="30" x14ac:knownFonts="1">
    <font>
      <sz val="11"/>
      <color theme="1"/>
      <name val="Calibri"/>
      <family val="2"/>
      <scheme val="minor"/>
    </font>
    <font>
      <sz val="11"/>
      <color theme="1"/>
      <name val="Calibri"/>
      <family val="2"/>
      <scheme val="minor"/>
    </font>
    <font>
      <sz val="11"/>
      <name val="Calibri"/>
      <family val="2"/>
      <scheme val="minor"/>
    </font>
    <font>
      <sz val="10"/>
      <name val="Arial"/>
      <family val="2"/>
    </font>
    <font>
      <b/>
      <sz val="20"/>
      <name val="Calibri"/>
      <family val="2"/>
      <scheme val="minor"/>
    </font>
    <font>
      <b/>
      <sz val="16"/>
      <name val="Calibri"/>
      <family val="2"/>
      <scheme val="minor"/>
    </font>
    <font>
      <sz val="20"/>
      <name val="Calibri"/>
      <family val="2"/>
      <scheme val="minor"/>
    </font>
    <font>
      <u/>
      <sz val="11"/>
      <color theme="10"/>
      <name val="Calibri"/>
      <family val="2"/>
      <scheme val="minor"/>
    </font>
    <font>
      <u/>
      <sz val="8.5"/>
      <color indexed="12"/>
      <name val="Arial"/>
      <family val="2"/>
    </font>
    <font>
      <sz val="8"/>
      <color rgb="FF11499E"/>
      <name val="Calibri"/>
      <family val="2"/>
      <scheme val="minor"/>
    </font>
    <font>
      <b/>
      <sz val="8"/>
      <color indexed="10"/>
      <name val="Calibri"/>
      <family val="2"/>
      <scheme val="minor"/>
    </font>
    <font>
      <b/>
      <sz val="8"/>
      <name val="Calibri"/>
      <family val="2"/>
      <scheme val="minor"/>
    </font>
    <font>
      <sz val="8"/>
      <name val="Calibri"/>
      <family val="2"/>
      <scheme val="minor"/>
    </font>
    <font>
      <sz val="8"/>
      <color indexed="8"/>
      <name val="Calibri"/>
      <family val="2"/>
      <scheme val="minor"/>
    </font>
    <font>
      <b/>
      <sz val="16"/>
      <color rgb="FF11499E"/>
      <name val="Calibri"/>
      <family val="2"/>
      <scheme val="minor"/>
    </font>
    <font>
      <b/>
      <sz val="12"/>
      <name val="Calibri"/>
      <family val="2"/>
      <scheme val="minor"/>
    </font>
    <font>
      <sz val="20"/>
      <color theme="1"/>
      <name val="Calibri"/>
      <family val="2"/>
      <scheme val="minor"/>
    </font>
    <font>
      <b/>
      <sz val="23"/>
      <name val="Calibri"/>
      <family val="2"/>
      <scheme val="minor"/>
    </font>
    <font>
      <sz val="23"/>
      <name val="Calibri"/>
      <family val="2"/>
      <scheme val="minor"/>
    </font>
    <font>
      <sz val="23"/>
      <color theme="1"/>
      <name val="Calibri"/>
      <family val="2"/>
      <scheme val="minor"/>
    </font>
    <font>
      <sz val="24"/>
      <color theme="1"/>
      <name val="Calibri"/>
      <family val="2"/>
      <scheme val="minor"/>
    </font>
    <font>
      <b/>
      <sz val="14"/>
      <color theme="1"/>
      <name val="Calibri"/>
      <family val="2"/>
      <scheme val="minor"/>
    </font>
    <font>
      <sz val="16"/>
      <color theme="1"/>
      <name val="Calibri"/>
      <family val="2"/>
      <scheme val="minor"/>
    </font>
    <font>
      <sz val="36"/>
      <color theme="1"/>
      <name val="Calibri"/>
      <family val="2"/>
      <scheme val="minor"/>
    </font>
    <font>
      <sz val="23"/>
      <color theme="1" tint="4.9989318521683403E-2"/>
      <name val="Calibri"/>
      <family val="2"/>
      <scheme val="minor"/>
    </font>
    <font>
      <b/>
      <sz val="23"/>
      <color theme="1" tint="4.9989318521683403E-2"/>
      <name val="Calibri"/>
      <family val="2"/>
      <scheme val="minor"/>
    </font>
    <font>
      <b/>
      <i/>
      <sz val="20"/>
      <name val="Calibri"/>
      <family val="2"/>
      <scheme val="minor"/>
    </font>
    <font>
      <i/>
      <sz val="20"/>
      <name val="Calibri"/>
      <family val="2"/>
      <scheme val="minor"/>
    </font>
    <font>
      <i/>
      <sz val="23"/>
      <name val="Calibri"/>
      <family val="2"/>
      <scheme val="minor"/>
    </font>
    <font>
      <i/>
      <sz val="2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indexed="9"/>
        <bgColor indexed="64"/>
      </patternFill>
    </fill>
    <fill>
      <patternFill patternType="solid">
        <fgColor rgb="FFFDCF41"/>
        <bgColor indexed="27"/>
      </patternFill>
    </fill>
    <fill>
      <patternFill patternType="solid">
        <fgColor theme="4" tint="0.79998168889431442"/>
        <bgColor indexed="64"/>
      </patternFill>
    </fill>
  </fills>
  <borders count="52">
    <border>
      <left/>
      <right/>
      <top/>
      <bottom/>
      <diagonal/>
    </border>
    <border>
      <left/>
      <right/>
      <top style="thin">
        <color rgb="FF11499E"/>
      </top>
      <bottom style="thin">
        <color rgb="FF11499E"/>
      </bottom>
      <diagonal/>
    </border>
    <border>
      <left/>
      <right style="thin">
        <color rgb="FF11499E"/>
      </right>
      <top style="thin">
        <color rgb="FF11499E"/>
      </top>
      <bottom style="thin">
        <color rgb="FF11499E"/>
      </bottom>
      <diagonal/>
    </border>
    <border>
      <left style="thin">
        <color rgb="FF11499E"/>
      </left>
      <right/>
      <top style="thin">
        <color rgb="FF11499E"/>
      </top>
      <bottom style="thin">
        <color rgb="FF11499E"/>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top style="medium">
        <color theme="4" tint="-0.499984740745262"/>
      </top>
      <bottom style="medium">
        <color theme="4" tint="-0.499984740745262"/>
      </bottom>
      <diagonal/>
    </border>
    <border>
      <left style="medium">
        <color theme="4" tint="-0.499984740745262"/>
      </left>
      <right style="medium">
        <color theme="4" tint="-0.499984740745262"/>
      </right>
      <top/>
      <bottom/>
      <diagonal/>
    </border>
    <border>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bottom style="medium">
        <color theme="4" tint="-0.499984740745262"/>
      </bottom>
      <diagonal/>
    </border>
    <border>
      <left/>
      <right style="medium">
        <color theme="4" tint="-0.499984740745262"/>
      </right>
      <top style="medium">
        <color theme="4" tint="-0.499984740745262"/>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style="medium">
        <color theme="4" tint="-0.499984740745262"/>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style="medium">
        <color theme="4" tint="-0.499984740745262"/>
      </bottom>
      <diagonal/>
    </border>
    <border>
      <left/>
      <right/>
      <top style="medium">
        <color theme="4" tint="-0.499984740745262"/>
      </top>
      <bottom style="medium">
        <color theme="4" tint="-0.499984740745262"/>
      </bottom>
      <diagonal/>
    </border>
    <border>
      <left style="medium">
        <color rgb="FF484D7A"/>
      </left>
      <right style="medium">
        <color rgb="FF484D7A"/>
      </right>
      <top style="medium">
        <color rgb="FF484D7A"/>
      </top>
      <bottom style="medium">
        <color rgb="FF484D7A"/>
      </bottom>
      <diagonal/>
    </border>
    <border>
      <left style="medium">
        <color rgb="FF484D7A"/>
      </left>
      <right/>
      <top style="medium">
        <color theme="4" tint="-0.499984740745262"/>
      </top>
      <bottom style="medium">
        <color theme="4" tint="-0.499984740745262"/>
      </bottom>
      <diagonal/>
    </border>
    <border>
      <left style="medium">
        <color theme="4" tint="-0.499984740745262"/>
      </left>
      <right style="medium">
        <color rgb="FF484D7A"/>
      </right>
      <top style="medium">
        <color theme="4" tint="-0.499984740745262"/>
      </top>
      <bottom style="medium">
        <color theme="4" tint="-0.499984740745262"/>
      </bottom>
      <diagonal/>
    </border>
    <border>
      <left style="medium">
        <color rgb="FF484D7A"/>
      </left>
      <right/>
      <top/>
      <bottom/>
      <diagonal/>
    </border>
    <border>
      <left style="medium">
        <color theme="4" tint="-0.499984740745262"/>
      </left>
      <right style="medium">
        <color rgb="FF484D7A"/>
      </right>
      <top/>
      <bottom/>
      <diagonal/>
    </border>
    <border>
      <left style="medium">
        <color rgb="FF484D7A"/>
      </left>
      <right/>
      <top/>
      <bottom style="medium">
        <color rgb="FF484D7A"/>
      </bottom>
      <diagonal/>
    </border>
    <border>
      <left style="medium">
        <color theme="4" tint="-0.499984740745262"/>
      </left>
      <right style="medium">
        <color rgb="FF484D7A"/>
      </right>
      <top/>
      <bottom style="medium">
        <color rgb="FF484D7A"/>
      </bottom>
      <diagonal/>
    </border>
    <border>
      <left style="medium">
        <color rgb="FF484D7A"/>
      </left>
      <right style="medium">
        <color theme="4" tint="-0.499984740745262"/>
      </right>
      <top style="medium">
        <color rgb="FF484D7A"/>
      </top>
      <bottom style="medium">
        <color rgb="FF484D7A"/>
      </bottom>
      <diagonal/>
    </border>
    <border>
      <left/>
      <right style="medium">
        <color rgb="FF484D7A"/>
      </right>
      <top style="medium">
        <color rgb="FF484D7A"/>
      </top>
      <bottom style="medium">
        <color rgb="FF484D7A"/>
      </bottom>
      <diagonal/>
    </border>
    <border>
      <left style="medium">
        <color rgb="FF484D7A"/>
      </left>
      <right/>
      <top style="medium">
        <color rgb="FF484D7A"/>
      </top>
      <bottom style="medium">
        <color rgb="FF484D7A"/>
      </bottom>
      <diagonal/>
    </border>
    <border>
      <left style="medium">
        <color theme="4" tint="-0.499984740745262"/>
      </left>
      <right style="medium">
        <color rgb="FF484D7A"/>
      </right>
      <top style="medium">
        <color rgb="FF484D7A"/>
      </top>
      <bottom style="medium">
        <color rgb="FF484D7A"/>
      </bottom>
      <diagonal/>
    </border>
    <border>
      <left/>
      <right style="medium">
        <color rgb="FF484D7A"/>
      </right>
      <top/>
      <bottom/>
      <diagonal/>
    </border>
    <border>
      <left/>
      <right style="medium">
        <color rgb="FF484D7A"/>
      </right>
      <top/>
      <bottom style="medium">
        <color rgb="FF484D7A"/>
      </bottom>
      <diagonal/>
    </border>
    <border>
      <left/>
      <right style="medium">
        <color rgb="FF484D7A"/>
      </right>
      <top style="medium">
        <color rgb="FF484D7A"/>
      </top>
      <bottom style="thin">
        <color rgb="FF484D7A"/>
      </bottom>
      <diagonal/>
    </border>
    <border>
      <left style="medium">
        <color rgb="FF484D7A"/>
      </left>
      <right/>
      <top style="medium">
        <color rgb="FF484D7A"/>
      </top>
      <bottom style="medium">
        <color theme="4" tint="-0.499984740745262"/>
      </bottom>
      <diagonal/>
    </border>
    <border>
      <left/>
      <right style="medium">
        <color rgb="FF484D7A"/>
      </right>
      <top style="medium">
        <color rgb="FF484D7A"/>
      </top>
      <bottom style="medium">
        <color theme="4" tint="-0.499984740745262"/>
      </bottom>
      <diagonal/>
    </border>
    <border>
      <left/>
      <right/>
      <top style="medium">
        <color rgb="FF484D7A"/>
      </top>
      <bottom style="medium">
        <color theme="4" tint="-0.499984740745262"/>
      </bottom>
      <diagonal/>
    </border>
    <border>
      <left style="medium">
        <color rgb="FF484D7A"/>
      </left>
      <right style="medium">
        <color rgb="FF484D7A"/>
      </right>
      <top style="medium">
        <color rgb="FF484D7A"/>
      </top>
      <bottom style="medium">
        <color theme="4" tint="-0.499984740745262"/>
      </bottom>
      <diagonal/>
    </border>
    <border>
      <left style="medium">
        <color rgb="FF484D7A"/>
      </left>
      <right style="medium">
        <color rgb="FF484D7A"/>
      </right>
      <top style="medium">
        <color rgb="FF484D7A"/>
      </top>
      <bottom/>
      <diagonal/>
    </border>
    <border>
      <left style="medium">
        <color rgb="FF484D7A"/>
      </left>
      <right style="medium">
        <color rgb="FF484D7A"/>
      </right>
      <top/>
      <bottom/>
      <diagonal/>
    </border>
    <border>
      <left style="medium">
        <color rgb="FF484D7A"/>
      </left>
      <right style="medium">
        <color rgb="FF484D7A"/>
      </right>
      <top/>
      <bottom style="medium">
        <color rgb="FF484D7A"/>
      </bottom>
      <diagonal/>
    </border>
    <border>
      <left/>
      <right style="thin">
        <color rgb="FF484D7A"/>
      </right>
      <top/>
      <bottom/>
      <diagonal/>
    </border>
    <border>
      <left/>
      <right style="thin">
        <color rgb="FF484D7A"/>
      </right>
      <top/>
      <bottom style="medium">
        <color rgb="FF484D7A"/>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484D7A"/>
      </right>
      <top style="medium">
        <color rgb="FF484D7A"/>
      </top>
      <bottom style="thin">
        <color rgb="FF484D7A"/>
      </bottom>
      <diagonal/>
    </border>
    <border>
      <left/>
      <right style="thin">
        <color rgb="FF484D7A"/>
      </right>
      <top style="thin">
        <color rgb="FF484D7A"/>
      </top>
      <bottom/>
      <diagonal/>
    </border>
    <border>
      <left style="medium">
        <color indexed="64"/>
      </left>
      <right style="thin">
        <color rgb="FF484D7A"/>
      </right>
      <top style="medium">
        <color indexed="64"/>
      </top>
      <bottom style="thin">
        <color indexed="64"/>
      </bottom>
      <diagonal/>
    </border>
    <border>
      <left/>
      <right style="medium">
        <color indexed="64"/>
      </right>
      <top style="medium">
        <color indexed="64"/>
      </top>
      <bottom style="thin">
        <color rgb="FF484D7A"/>
      </bottom>
      <diagonal/>
    </border>
    <border>
      <left style="medium">
        <color indexed="64"/>
      </left>
      <right style="thin">
        <color rgb="FF484D7A"/>
      </right>
      <top/>
      <bottom/>
      <diagonal/>
    </border>
    <border>
      <left/>
      <right style="medium">
        <color indexed="64"/>
      </right>
      <top/>
      <bottom/>
      <diagonal/>
    </border>
    <border>
      <left style="medium">
        <color indexed="64"/>
      </left>
      <right style="thin">
        <color rgb="FF484D7A"/>
      </right>
      <top/>
      <bottom style="medium">
        <color indexed="64"/>
      </bottom>
      <diagonal/>
    </border>
    <border>
      <left/>
      <right style="medium">
        <color indexed="64"/>
      </right>
      <top/>
      <bottom style="medium">
        <color indexed="64"/>
      </bottom>
      <diagonal/>
    </border>
    <border>
      <left style="medium">
        <color indexed="64"/>
      </left>
      <right style="thin">
        <color rgb="FF484D7A"/>
      </right>
      <top style="medium">
        <color indexed="64"/>
      </top>
      <bottom style="thin">
        <color rgb="FF484D7A"/>
      </bottom>
      <diagonal/>
    </border>
    <border>
      <left style="medium">
        <color indexed="64"/>
      </left>
      <right style="thin">
        <color rgb="FF484D7A"/>
      </right>
      <top style="thin">
        <color rgb="FF484D7A"/>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cellStyleXfs>
  <cellXfs count="202">
    <xf numFmtId="0" fontId="0" fillId="0" borderId="0" xfId="0"/>
    <xf numFmtId="0" fontId="4" fillId="2" borderId="0" xfId="0" applyFont="1" applyFill="1"/>
    <xf numFmtId="0" fontId="2" fillId="2" borderId="0" xfId="0" applyFont="1" applyFill="1" applyBorder="1"/>
    <xf numFmtId="164" fontId="2" fillId="2" borderId="0" xfId="1" applyNumberFormat="1" applyFont="1" applyFill="1" applyBorder="1"/>
    <xf numFmtId="0" fontId="3" fillId="2" borderId="0" xfId="0" applyFont="1" applyFill="1" applyBorder="1" applyAlignment="1">
      <alignment horizontal="right" vertical="top"/>
    </xf>
    <xf numFmtId="165" fontId="2" fillId="2" borderId="0" xfId="2" applyNumberFormat="1" applyFont="1" applyFill="1" applyBorder="1"/>
    <xf numFmtId="10" fontId="2" fillId="2" borderId="0" xfId="2" applyNumberFormat="1" applyFont="1" applyFill="1" applyBorder="1"/>
    <xf numFmtId="0" fontId="5" fillId="2" borderId="0" xfId="0" applyFont="1" applyFill="1" applyAlignment="1"/>
    <xf numFmtId="0" fontId="0" fillId="2" borderId="0" xfId="0" applyFill="1"/>
    <xf numFmtId="0" fontId="5" fillId="2" borderId="0" xfId="0" applyFont="1" applyFill="1" applyAlignment="1">
      <alignment horizontal="left" wrapText="1"/>
    </xf>
    <xf numFmtId="0" fontId="5" fillId="2" borderId="0" xfId="0" applyFont="1" applyFill="1" applyAlignment="1">
      <alignment horizontal="left" wrapText="1"/>
    </xf>
    <xf numFmtId="0" fontId="17" fillId="2" borderId="0" xfId="0" applyFont="1" applyFill="1"/>
    <xf numFmtId="0" fontId="0" fillId="0" borderId="0" xfId="0" applyAlignment="1">
      <alignment horizontal="left"/>
    </xf>
    <xf numFmtId="0" fontId="16" fillId="0" borderId="0" xfId="0" applyFont="1" applyAlignment="1">
      <alignment vertical="center"/>
    </xf>
    <xf numFmtId="0" fontId="16" fillId="0" borderId="0" xfId="0" applyFont="1"/>
    <xf numFmtId="0" fontId="17" fillId="0" borderId="0" xfId="0" applyFont="1" applyFill="1" applyBorder="1" applyAlignment="1">
      <alignment horizontal="center" vertical="center" wrapText="1"/>
    </xf>
    <xf numFmtId="0" fontId="0" fillId="0" borderId="0" xfId="0" applyBorder="1" applyAlignment="1">
      <alignment horizontal="center" vertical="center" wrapText="1"/>
    </xf>
    <xf numFmtId="1" fontId="18" fillId="2" borderId="0" xfId="2" applyNumberFormat="1" applyFont="1" applyFill="1" applyBorder="1" applyAlignment="1">
      <alignment horizontal="center" vertical="center"/>
    </xf>
    <xf numFmtId="1" fontId="18" fillId="0" borderId="0" xfId="2" applyNumberFormat="1" applyFont="1" applyFill="1" applyBorder="1" applyAlignment="1">
      <alignment horizontal="center" vertical="center"/>
    </xf>
    <xf numFmtId="1" fontId="18" fillId="2" borderId="0" xfId="2" applyNumberFormat="1" applyFont="1" applyFill="1" applyBorder="1" applyAlignment="1">
      <alignment horizontal="center" vertical="center" wrapText="1"/>
    </xf>
    <xf numFmtId="0" fontId="21" fillId="2" borderId="0" xfId="0" applyFont="1" applyFill="1"/>
    <xf numFmtId="0" fontId="5" fillId="2" borderId="0" xfId="0" applyFont="1" applyFill="1" applyAlignment="1">
      <alignment horizontal="left" vertical="top" wrapText="1"/>
    </xf>
    <xf numFmtId="166" fontId="16" fillId="0" borderId="0" xfId="0" applyNumberFormat="1" applyFont="1"/>
    <xf numFmtId="166" fontId="18" fillId="2" borderId="0" xfId="2" applyNumberFormat="1" applyFont="1" applyFill="1" applyBorder="1" applyAlignment="1">
      <alignment horizontal="center" vertical="center"/>
    </xf>
    <xf numFmtId="0" fontId="0" fillId="0" borderId="0" xfId="0" applyBorder="1"/>
    <xf numFmtId="0" fontId="5" fillId="2" borderId="0" xfId="0" applyFont="1" applyFill="1" applyAlignment="1">
      <alignment horizontal="left" wrapText="1"/>
    </xf>
    <xf numFmtId="0" fontId="5" fillId="2" borderId="0" xfId="0" applyFont="1" applyFill="1" applyAlignment="1">
      <alignment horizontal="left" vertical="center" wrapText="1"/>
    </xf>
    <xf numFmtId="0" fontId="23" fillId="0" borderId="0" xfId="0" applyFont="1"/>
    <xf numFmtId="0" fontId="22" fillId="2" borderId="0" xfId="0" applyFont="1" applyFill="1" applyAlignment="1">
      <alignment horizontal="center" vertical="center"/>
    </xf>
    <xf numFmtId="0" fontId="17" fillId="6" borderId="4" xfId="0" applyFont="1" applyFill="1" applyBorder="1" applyAlignment="1">
      <alignment horizontal="center" vertical="center" wrapText="1"/>
    </xf>
    <xf numFmtId="0" fontId="17" fillId="6" borderId="12" xfId="0" applyFont="1" applyFill="1" applyBorder="1" applyAlignment="1">
      <alignment horizontal="center" vertical="center" wrapText="1"/>
    </xf>
    <xf numFmtId="1" fontId="17" fillId="2" borderId="6" xfId="1" applyNumberFormat="1" applyFont="1" applyFill="1" applyBorder="1" applyAlignment="1">
      <alignment horizontal="center" vertical="center" wrapText="1"/>
    </xf>
    <xf numFmtId="166" fontId="18" fillId="2" borderId="10" xfId="2" applyNumberFormat="1" applyFont="1" applyFill="1" applyBorder="1" applyAlignment="1">
      <alignment horizontal="center" vertical="center"/>
    </xf>
    <xf numFmtId="0" fontId="17" fillId="6" borderId="9" xfId="0" applyFont="1" applyFill="1" applyBorder="1" applyAlignment="1">
      <alignment horizontal="center" vertical="center" wrapText="1"/>
    </xf>
    <xf numFmtId="166" fontId="18" fillId="2" borderId="6" xfId="2" applyNumberFormat="1" applyFont="1" applyFill="1" applyBorder="1" applyAlignment="1">
      <alignment horizontal="center" vertical="center"/>
    </xf>
    <xf numFmtId="0" fontId="4" fillId="2" borderId="0" xfId="0" applyFont="1" applyFill="1" applyBorder="1" applyAlignment="1">
      <alignment horizontal="center" vertical="center" wrapText="1"/>
    </xf>
    <xf numFmtId="164" fontId="6" fillId="2" borderId="0" xfId="1" applyNumberFormat="1" applyFont="1" applyFill="1" applyBorder="1" applyAlignment="1">
      <alignment horizontal="left" vertical="center" indent="3"/>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wrapText="1" indent="1"/>
    </xf>
    <xf numFmtId="164" fontId="6" fillId="0" borderId="0" xfId="1" applyNumberFormat="1" applyFont="1" applyFill="1" applyBorder="1" applyAlignment="1">
      <alignment horizontal="left" vertical="center" indent="3"/>
    </xf>
    <xf numFmtId="0" fontId="0" fillId="0" borderId="0" xfId="0" applyFill="1" applyBorder="1" applyAlignment="1">
      <alignment horizontal="center" vertical="center" wrapText="1"/>
    </xf>
    <xf numFmtId="3" fontId="18" fillId="2" borderId="6" xfId="1" applyNumberFormat="1" applyFont="1" applyFill="1" applyBorder="1" applyAlignment="1">
      <alignment horizontal="center" vertical="center"/>
    </xf>
    <xf numFmtId="3" fontId="18" fillId="2" borderId="6" xfId="2" applyNumberFormat="1" applyFont="1" applyFill="1" applyBorder="1" applyAlignment="1">
      <alignment horizontal="center" vertical="center"/>
    </xf>
    <xf numFmtId="9" fontId="18" fillId="0" borderId="0" xfId="2" applyNumberFormat="1" applyFont="1" applyFill="1" applyBorder="1" applyAlignment="1">
      <alignment horizontal="center" vertical="center"/>
    </xf>
    <xf numFmtId="168" fontId="18" fillId="0" borderId="0" xfId="2" applyNumberFormat="1" applyFont="1" applyFill="1" applyBorder="1" applyAlignment="1">
      <alignment horizontal="center" vertical="center"/>
    </xf>
    <xf numFmtId="9" fontId="18" fillId="0" borderId="0" xfId="2" applyNumberFormat="1" applyFont="1" applyFill="1" applyBorder="1" applyAlignment="1">
      <alignment horizontal="center" vertical="center" wrapText="1"/>
    </xf>
    <xf numFmtId="3" fontId="18" fillId="2" borderId="13" xfId="2" applyNumberFormat="1" applyFont="1" applyFill="1" applyBorder="1" applyAlignment="1">
      <alignment horizontal="center" vertical="center"/>
    </xf>
    <xf numFmtId="0" fontId="17" fillId="0" borderId="0" xfId="0" applyFont="1" applyFill="1" applyBorder="1" applyAlignment="1">
      <alignment horizontal="center" vertical="center"/>
    </xf>
    <xf numFmtId="0" fontId="0" fillId="0" borderId="0" xfId="0" applyFill="1" applyBorder="1" applyAlignment="1">
      <alignment horizontal="center" vertical="center"/>
    </xf>
    <xf numFmtId="166" fontId="18" fillId="2" borderId="13" xfId="2" applyNumberFormat="1" applyFont="1" applyFill="1" applyBorder="1" applyAlignment="1">
      <alignment horizontal="center" vertical="center"/>
    </xf>
    <xf numFmtId="0" fontId="17" fillId="6" borderId="10" xfId="0" applyFont="1" applyFill="1" applyBorder="1" applyAlignment="1">
      <alignment horizontal="center" vertical="center" wrapText="1"/>
    </xf>
    <xf numFmtId="3" fontId="19" fillId="2" borderId="6" xfId="0" applyNumberFormat="1" applyFont="1" applyFill="1" applyBorder="1" applyAlignment="1">
      <alignment horizontal="center" vertical="center"/>
    </xf>
    <xf numFmtId="1" fontId="17" fillId="0" borderId="0" xfId="1" applyNumberFormat="1" applyFont="1" applyFill="1" applyBorder="1" applyAlignment="1">
      <alignment horizontal="center" vertical="center" wrapText="1"/>
    </xf>
    <xf numFmtId="0" fontId="17" fillId="6" borderId="4" xfId="0" applyFont="1" applyFill="1" applyBorder="1" applyAlignment="1">
      <alignment horizontal="left" vertical="center" wrapText="1"/>
    </xf>
    <xf numFmtId="0" fontId="17" fillId="6" borderId="4" xfId="0" applyFont="1" applyFill="1" applyBorder="1" applyAlignment="1">
      <alignment horizontal="left" vertical="center" wrapText="1" indent="1"/>
    </xf>
    <xf numFmtId="164" fontId="18" fillId="2" borderId="6" xfId="1" applyNumberFormat="1" applyFont="1" applyFill="1" applyBorder="1" applyAlignment="1">
      <alignment horizontal="left" vertical="center" indent="3"/>
    </xf>
    <xf numFmtId="164" fontId="18" fillId="2" borderId="12" xfId="1" applyNumberFormat="1" applyFont="1" applyFill="1" applyBorder="1" applyAlignment="1">
      <alignment horizontal="left" vertical="center" indent="3"/>
    </xf>
    <xf numFmtId="0" fontId="17" fillId="6" borderId="6"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7" fillId="6" borderId="14" xfId="0" applyFont="1" applyFill="1" applyBorder="1" applyAlignment="1">
      <alignment horizontal="center" vertical="center" wrapText="1"/>
    </xf>
    <xf numFmtId="172" fontId="17" fillId="6" borderId="5" xfId="0" applyNumberFormat="1" applyFont="1" applyFill="1" applyBorder="1" applyAlignment="1">
      <alignment horizontal="center" vertical="center" wrapText="1"/>
    </xf>
    <xf numFmtId="166" fontId="17" fillId="6" borderId="4" xfId="0" applyNumberFormat="1" applyFont="1" applyFill="1" applyBorder="1" applyAlignment="1">
      <alignment horizontal="center" vertical="center" wrapText="1"/>
    </xf>
    <xf numFmtId="166" fontId="17" fillId="0" borderId="0" xfId="0" applyNumberFormat="1" applyFont="1" applyFill="1" applyBorder="1" applyAlignment="1">
      <alignment horizontal="center" vertical="center" wrapText="1"/>
    </xf>
    <xf numFmtId="171" fontId="17" fillId="6" borderId="8" xfId="0" applyNumberFormat="1" applyFont="1" applyFill="1" applyBorder="1" applyAlignment="1">
      <alignment horizontal="center" vertical="center" wrapText="1"/>
    </xf>
    <xf numFmtId="166" fontId="17" fillId="6" borderId="10" xfId="0" applyNumberFormat="1" applyFont="1" applyFill="1" applyBorder="1" applyAlignment="1">
      <alignment horizontal="center" vertical="center" wrapText="1"/>
    </xf>
    <xf numFmtId="167" fontId="25" fillId="6" borderId="7" xfId="1" applyNumberFormat="1" applyFont="1" applyFill="1" applyBorder="1" applyAlignment="1">
      <alignment horizontal="center" vertical="center" wrapText="1"/>
    </xf>
    <xf numFmtId="172" fontId="17" fillId="6" borderId="11" xfId="0" applyNumberFormat="1" applyFont="1" applyFill="1" applyBorder="1" applyAlignment="1">
      <alignment horizontal="center" vertical="center" wrapText="1"/>
    </xf>
    <xf numFmtId="166" fontId="17" fillId="6" borderId="8" xfId="0" applyNumberFormat="1" applyFont="1" applyFill="1" applyBorder="1" applyAlignment="1">
      <alignment horizontal="center" vertical="center" wrapText="1"/>
    </xf>
    <xf numFmtId="171" fontId="17" fillId="6" borderId="11" xfId="0" applyNumberFormat="1" applyFont="1" applyFill="1" applyBorder="1" applyAlignment="1">
      <alignment horizontal="center" vertical="center" wrapText="1"/>
    </xf>
    <xf numFmtId="172" fontId="18" fillId="2" borderId="13" xfId="1" applyNumberFormat="1" applyFont="1" applyFill="1" applyBorder="1" applyAlignment="1">
      <alignment horizontal="center"/>
    </xf>
    <xf numFmtId="166" fontId="18" fillId="0" borderId="12" xfId="0" applyNumberFormat="1" applyFont="1" applyFill="1" applyBorder="1" applyAlignment="1">
      <alignment horizontal="center" vertical="center" wrapText="1"/>
    </xf>
    <xf numFmtId="166" fontId="18" fillId="0" borderId="0" xfId="0" applyNumberFormat="1" applyFont="1" applyFill="1" applyBorder="1" applyAlignment="1">
      <alignment horizontal="center" vertical="center" wrapText="1"/>
    </xf>
    <xf numFmtId="171" fontId="18" fillId="0" borderId="12" xfId="1" applyNumberFormat="1" applyFont="1" applyFill="1" applyBorder="1" applyAlignment="1">
      <alignment horizontal="center"/>
    </xf>
    <xf numFmtId="166" fontId="18" fillId="0" borderId="9" xfId="0" applyNumberFormat="1" applyFont="1" applyFill="1" applyBorder="1" applyAlignment="1">
      <alignment horizontal="center" vertical="center" wrapText="1"/>
    </xf>
    <xf numFmtId="167" fontId="24" fillId="0" borderId="12" xfId="1" applyNumberFormat="1" applyFont="1" applyFill="1" applyBorder="1" applyAlignment="1">
      <alignment horizontal="center"/>
    </xf>
    <xf numFmtId="167" fontId="24" fillId="0" borderId="9" xfId="1" applyNumberFormat="1" applyFont="1" applyFill="1" applyBorder="1" applyAlignment="1">
      <alignment horizontal="center" vertical="center" wrapText="1"/>
    </xf>
    <xf numFmtId="166" fontId="18" fillId="0" borderId="6" xfId="0" applyNumberFormat="1" applyFont="1" applyFill="1" applyBorder="1" applyAlignment="1">
      <alignment horizontal="center" vertical="center" wrapText="1"/>
    </xf>
    <xf numFmtId="171" fontId="18" fillId="0" borderId="6" xfId="1" applyNumberFormat="1" applyFont="1" applyFill="1" applyBorder="1" applyAlignment="1">
      <alignment horizontal="center"/>
    </xf>
    <xf numFmtId="166" fontId="18" fillId="0" borderId="10" xfId="0" applyNumberFormat="1" applyFont="1" applyFill="1" applyBorder="1" applyAlignment="1">
      <alignment horizontal="center" vertical="center" wrapText="1"/>
    </xf>
    <xf numFmtId="167" fontId="24" fillId="0" borderId="6" xfId="1" applyNumberFormat="1" applyFont="1" applyFill="1" applyBorder="1" applyAlignment="1">
      <alignment horizontal="center"/>
    </xf>
    <xf numFmtId="167" fontId="24" fillId="0" borderId="10" xfId="1" applyNumberFormat="1" applyFont="1" applyFill="1" applyBorder="1" applyAlignment="1">
      <alignment horizontal="center" vertical="center" wrapText="1"/>
    </xf>
    <xf numFmtId="171" fontId="18" fillId="0" borderId="8" xfId="1" applyNumberFormat="1" applyFont="1" applyFill="1" applyBorder="1" applyAlignment="1">
      <alignment horizontal="center"/>
    </xf>
    <xf numFmtId="166" fontId="18" fillId="0" borderId="14" xfId="0" applyNumberFormat="1" applyFont="1" applyFill="1" applyBorder="1" applyAlignment="1">
      <alignment horizontal="center" vertical="center" wrapText="1"/>
    </xf>
    <xf numFmtId="167" fontId="24" fillId="0" borderId="8" xfId="1" applyNumberFormat="1" applyFont="1" applyFill="1" applyBorder="1" applyAlignment="1">
      <alignment horizontal="center"/>
    </xf>
    <xf numFmtId="167" fontId="24" fillId="0" borderId="14" xfId="1" applyNumberFormat="1" applyFont="1" applyFill="1" applyBorder="1" applyAlignment="1">
      <alignment horizontal="center" vertical="center" wrapText="1"/>
    </xf>
    <xf numFmtId="171" fontId="17" fillId="6" borderId="4" xfId="0" applyNumberFormat="1" applyFont="1" applyFill="1" applyBorder="1" applyAlignment="1">
      <alignment horizontal="center" vertical="center" wrapText="1"/>
    </xf>
    <xf numFmtId="166" fontId="17" fillId="6" borderId="7" xfId="0" applyNumberFormat="1" applyFont="1" applyFill="1" applyBorder="1" applyAlignment="1">
      <alignment horizontal="center" vertical="center" wrapText="1"/>
    </xf>
    <xf numFmtId="167" fontId="25" fillId="6" borderId="4" xfId="1" applyNumberFormat="1" applyFont="1" applyFill="1" applyBorder="1" applyAlignment="1">
      <alignment horizontal="center"/>
    </xf>
    <xf numFmtId="172" fontId="18" fillId="2" borderId="6" xfId="1" applyNumberFormat="1" applyFont="1" applyFill="1" applyBorder="1" applyAlignment="1">
      <alignment horizontal="center"/>
    </xf>
    <xf numFmtId="167" fontId="24" fillId="0" borderId="6" xfId="1" applyNumberFormat="1" applyFont="1" applyFill="1" applyBorder="1" applyAlignment="1">
      <alignment horizontal="center" vertical="center" wrapText="1"/>
    </xf>
    <xf numFmtId="172" fontId="18" fillId="2" borderId="8" xfId="1" applyNumberFormat="1" applyFont="1" applyFill="1" applyBorder="1" applyAlignment="1">
      <alignment horizontal="center"/>
    </xf>
    <xf numFmtId="166" fontId="18" fillId="0" borderId="8" xfId="0" applyNumberFormat="1" applyFont="1" applyFill="1" applyBorder="1" applyAlignment="1">
      <alignment horizontal="center" vertical="center" wrapText="1"/>
    </xf>
    <xf numFmtId="167" fontId="24" fillId="0" borderId="8" xfId="1" applyNumberFormat="1" applyFont="1" applyFill="1" applyBorder="1" applyAlignment="1">
      <alignment horizontal="center" vertical="center" wrapText="1"/>
    </xf>
    <xf numFmtId="166" fontId="22" fillId="0" borderId="0" xfId="0" applyNumberFormat="1" applyFont="1"/>
    <xf numFmtId="170" fontId="20" fillId="2" borderId="0" xfId="0" applyNumberFormat="1" applyFont="1" applyFill="1"/>
    <xf numFmtId="11" fontId="0" fillId="2" borderId="0" xfId="0" applyNumberFormat="1" applyFill="1"/>
    <xf numFmtId="170" fontId="0" fillId="2" borderId="0" xfId="0" applyNumberFormat="1" applyFill="1"/>
    <xf numFmtId="10" fontId="0" fillId="2" borderId="0" xfId="0" applyNumberFormat="1" applyFill="1"/>
    <xf numFmtId="0" fontId="5" fillId="2" borderId="0" xfId="0" applyFont="1" applyFill="1" applyAlignment="1">
      <alignment horizontal="left" vertical="top" wrapText="1"/>
    </xf>
    <xf numFmtId="0" fontId="4" fillId="6" borderId="4" xfId="0" applyFont="1" applyFill="1" applyBorder="1" applyAlignment="1">
      <alignment horizontal="center" vertical="center" wrapText="1"/>
    </xf>
    <xf numFmtId="1" fontId="4" fillId="2" borderId="6" xfId="1" applyNumberFormat="1" applyFont="1" applyFill="1" applyBorder="1" applyAlignment="1">
      <alignment horizontal="left" vertical="center"/>
    </xf>
    <xf numFmtId="170" fontId="6" fillId="2" borderId="6" xfId="1" applyNumberFormat="1" applyFont="1" applyFill="1" applyBorder="1" applyAlignment="1">
      <alignment horizontal="center" vertical="center"/>
    </xf>
    <xf numFmtId="166" fontId="6" fillId="2" borderId="6" xfId="2" applyNumberFormat="1" applyFont="1" applyFill="1" applyBorder="1" applyAlignment="1">
      <alignment horizontal="center"/>
    </xf>
    <xf numFmtId="1" fontId="26" fillId="2" borderId="6" xfId="1" applyNumberFormat="1" applyFont="1" applyFill="1" applyBorder="1" applyAlignment="1">
      <alignment horizontal="left" vertical="center"/>
    </xf>
    <xf numFmtId="170" fontId="27" fillId="2" borderId="6" xfId="1" applyNumberFormat="1" applyFont="1" applyFill="1" applyBorder="1" applyAlignment="1">
      <alignment horizontal="center" vertical="center"/>
    </xf>
    <xf numFmtId="166" fontId="27" fillId="2" borderId="6" xfId="2" applyNumberFormat="1" applyFont="1" applyFill="1" applyBorder="1" applyAlignment="1">
      <alignment horizontal="center"/>
    </xf>
    <xf numFmtId="170" fontId="4" fillId="6" borderId="4" xfId="0" applyNumberFormat="1" applyFont="1" applyFill="1" applyBorder="1" applyAlignment="1">
      <alignment horizontal="center" vertical="center" wrapText="1"/>
    </xf>
    <xf numFmtId="169" fontId="4" fillId="6" borderId="4" xfId="1" applyNumberFormat="1" applyFont="1" applyFill="1" applyBorder="1" applyAlignment="1">
      <alignment horizontal="center" vertical="center" wrapText="1"/>
    </xf>
    <xf numFmtId="166" fontId="4" fillId="6" borderId="4" xfId="2" applyNumberFormat="1" applyFont="1" applyFill="1" applyBorder="1" applyAlignment="1">
      <alignment horizontal="center" vertical="center"/>
    </xf>
    <xf numFmtId="0" fontId="17" fillId="6" borderId="17" xfId="0" applyFont="1" applyFill="1" applyBorder="1" applyAlignment="1">
      <alignment horizontal="center" vertical="center" wrapText="1"/>
    </xf>
    <xf numFmtId="0" fontId="17" fillId="6" borderId="18" xfId="0" applyFont="1" applyFill="1" applyBorder="1" applyAlignment="1">
      <alignment horizontal="center" vertical="center" wrapText="1"/>
    </xf>
    <xf numFmtId="166" fontId="18" fillId="2" borderId="20" xfId="2" applyNumberFormat="1" applyFont="1" applyFill="1" applyBorder="1" applyAlignment="1">
      <alignment horizontal="center" vertical="center"/>
    </xf>
    <xf numFmtId="164" fontId="28" fillId="2" borderId="8" xfId="1" applyNumberFormat="1" applyFont="1" applyFill="1" applyBorder="1" applyAlignment="1">
      <alignment horizontal="left" vertical="center" indent="3"/>
    </xf>
    <xf numFmtId="0" fontId="17" fillId="2" borderId="0" xfId="0" applyFont="1" applyFill="1" applyBorder="1" applyAlignment="1">
      <alignment horizontal="center" vertical="center" wrapText="1"/>
    </xf>
    <xf numFmtId="3" fontId="18" fillId="2" borderId="0" xfId="1" applyNumberFormat="1" applyFont="1" applyFill="1" applyBorder="1" applyAlignment="1">
      <alignment horizontal="center" vertical="center" wrapText="1"/>
    </xf>
    <xf numFmtId="3" fontId="18" fillId="2" borderId="0" xfId="2" applyNumberFormat="1" applyFont="1" applyFill="1" applyBorder="1" applyAlignment="1">
      <alignment horizontal="center" vertical="center" wrapText="1"/>
    </xf>
    <xf numFmtId="166" fontId="18" fillId="2" borderId="24" xfId="2" applyNumberFormat="1" applyFont="1" applyFill="1" applyBorder="1" applyAlignment="1">
      <alignment horizontal="center" vertical="center"/>
    </xf>
    <xf numFmtId="166" fontId="18" fillId="2" borderId="26" xfId="2" applyNumberFormat="1" applyFont="1" applyFill="1" applyBorder="1" applyAlignment="1">
      <alignment horizontal="center" vertical="center"/>
    </xf>
    <xf numFmtId="0" fontId="17" fillId="2" borderId="16" xfId="0" applyFont="1" applyFill="1" applyBorder="1" applyAlignment="1">
      <alignment horizontal="center" vertical="center" wrapText="1"/>
    </xf>
    <xf numFmtId="167" fontId="16" fillId="2" borderId="27" xfId="0" applyNumberFormat="1" applyFont="1" applyFill="1" applyBorder="1" applyAlignment="1">
      <alignment horizontal="center" vertical="center"/>
    </xf>
    <xf numFmtId="167" fontId="16" fillId="2" borderId="28" xfId="0" applyNumberFormat="1" applyFont="1" applyFill="1" applyBorder="1" applyAlignment="1">
      <alignment horizontal="center" vertical="center"/>
    </xf>
    <xf numFmtId="0" fontId="4" fillId="2" borderId="29"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0" fillId="0" borderId="0" xfId="0"/>
    <xf numFmtId="173" fontId="0" fillId="0" borderId="0" xfId="0" applyNumberFormat="1"/>
    <xf numFmtId="171" fontId="18" fillId="2" borderId="23" xfId="1" applyNumberFormat="1" applyFont="1" applyFill="1" applyBorder="1" applyAlignment="1">
      <alignment horizontal="center" vertical="center" wrapText="1"/>
    </xf>
    <xf numFmtId="171" fontId="18" fillId="2" borderId="25" xfId="2" applyNumberFormat="1" applyFont="1" applyFill="1" applyBorder="1" applyAlignment="1">
      <alignment horizontal="center" vertical="center" wrapText="1"/>
    </xf>
    <xf numFmtId="0" fontId="17" fillId="6" borderId="33" xfId="0" applyFont="1" applyFill="1" applyBorder="1" applyAlignment="1">
      <alignment horizontal="center" vertical="center" wrapText="1"/>
    </xf>
    <xf numFmtId="2" fontId="0" fillId="0" borderId="0" xfId="0" applyNumberFormat="1"/>
    <xf numFmtId="0" fontId="26" fillId="2" borderId="8" xfId="0" applyFont="1" applyFill="1" applyBorder="1" applyAlignment="1">
      <alignment horizontal="center" vertical="center" wrapText="1"/>
    </xf>
    <xf numFmtId="1" fontId="26" fillId="2" borderId="6" xfId="1" applyNumberFormat="1" applyFont="1" applyFill="1" applyBorder="1" applyAlignment="1">
      <alignment horizontal="center" vertical="center" wrapText="1"/>
    </xf>
    <xf numFmtId="3" fontId="27" fillId="2" borderId="6" xfId="1" applyNumberFormat="1" applyFont="1" applyFill="1" applyBorder="1" applyAlignment="1">
      <alignment horizontal="center" vertical="center"/>
    </xf>
    <xf numFmtId="166" fontId="27" fillId="2" borderId="10" xfId="2" applyNumberFormat="1" applyFont="1" applyFill="1" applyBorder="1" applyAlignment="1">
      <alignment horizontal="center" vertical="center"/>
    </xf>
    <xf numFmtId="9" fontId="27" fillId="0" borderId="0" xfId="2" applyNumberFormat="1" applyFont="1" applyFill="1" applyBorder="1" applyAlignment="1">
      <alignment horizontal="center" vertical="center"/>
    </xf>
    <xf numFmtId="3" fontId="27" fillId="2" borderId="13" xfId="2" applyNumberFormat="1" applyFont="1" applyFill="1" applyBorder="1" applyAlignment="1">
      <alignment horizontal="center" vertical="center"/>
    </xf>
    <xf numFmtId="166" fontId="27" fillId="2" borderId="6" xfId="2" applyNumberFormat="1" applyFont="1" applyFill="1" applyBorder="1" applyAlignment="1">
      <alignment horizontal="center" vertical="center"/>
    </xf>
    <xf numFmtId="3" fontId="27" fillId="2" borderId="8" xfId="1" applyNumberFormat="1" applyFont="1" applyFill="1" applyBorder="1" applyAlignment="1">
      <alignment horizontal="center" vertical="center" wrapText="1"/>
    </xf>
    <xf numFmtId="166" fontId="27" fillId="2" borderId="14" xfId="2" applyNumberFormat="1" applyFont="1" applyFill="1" applyBorder="1" applyAlignment="1">
      <alignment horizontal="center" vertical="center"/>
    </xf>
    <xf numFmtId="9" fontId="27" fillId="0" borderId="0" xfId="2" applyNumberFormat="1" applyFont="1" applyFill="1" applyBorder="1" applyAlignment="1">
      <alignment horizontal="center" vertical="center" wrapText="1"/>
    </xf>
    <xf numFmtId="3" fontId="27" fillId="2" borderId="11" xfId="2" applyNumberFormat="1" applyFont="1" applyFill="1" applyBorder="1" applyAlignment="1">
      <alignment horizontal="center" vertical="center" wrapText="1"/>
    </xf>
    <xf numFmtId="166" fontId="27" fillId="2" borderId="8" xfId="2" applyNumberFormat="1" applyFont="1" applyFill="1" applyBorder="1" applyAlignment="1">
      <alignment horizontal="center" vertical="center"/>
    </xf>
    <xf numFmtId="1" fontId="26" fillId="0" borderId="0" xfId="1" applyNumberFormat="1" applyFont="1" applyFill="1" applyBorder="1" applyAlignment="1">
      <alignment horizontal="center" vertical="center" wrapText="1"/>
    </xf>
    <xf numFmtId="3" fontId="29" fillId="2" borderId="6" xfId="0" applyNumberFormat="1" applyFont="1" applyFill="1" applyBorder="1" applyAlignment="1">
      <alignment horizontal="center" vertical="center"/>
    </xf>
    <xf numFmtId="0" fontId="29" fillId="0" borderId="0" xfId="0" applyFont="1"/>
    <xf numFmtId="166" fontId="27" fillId="2" borderId="20" xfId="2" applyNumberFormat="1" applyFont="1" applyFill="1" applyBorder="1" applyAlignment="1">
      <alignment horizontal="center" vertical="center"/>
    </xf>
    <xf numFmtId="1" fontId="27" fillId="2" borderId="0" xfId="2" applyNumberFormat="1" applyFont="1" applyFill="1" applyBorder="1" applyAlignment="1">
      <alignment horizontal="center" vertical="center"/>
    </xf>
    <xf numFmtId="166" fontId="27" fillId="2" borderId="13" xfId="2" applyNumberFormat="1" applyFont="1" applyFill="1" applyBorder="1" applyAlignment="1">
      <alignment horizontal="center" vertical="center"/>
    </xf>
    <xf numFmtId="0" fontId="26" fillId="0" borderId="0" xfId="0" applyFont="1" applyFill="1" applyBorder="1" applyAlignment="1">
      <alignment horizontal="center" vertical="center" wrapText="1"/>
    </xf>
    <xf numFmtId="166" fontId="27" fillId="2" borderId="22" xfId="2" applyNumberFormat="1" applyFont="1" applyFill="1" applyBorder="1" applyAlignment="1">
      <alignment horizontal="center" vertical="center"/>
    </xf>
    <xf numFmtId="1" fontId="27" fillId="2" borderId="0" xfId="2" applyNumberFormat="1" applyFont="1" applyFill="1" applyBorder="1" applyAlignment="1">
      <alignment horizontal="center" vertical="center" wrapText="1"/>
    </xf>
    <xf numFmtId="166" fontId="27" fillId="2" borderId="11" xfId="2" applyNumberFormat="1" applyFont="1" applyFill="1" applyBorder="1" applyAlignment="1">
      <alignment horizontal="center" vertical="center"/>
    </xf>
    <xf numFmtId="0" fontId="17" fillId="6" borderId="5" xfId="0" applyFont="1" applyFill="1" applyBorder="1" applyAlignment="1">
      <alignment horizontal="center" vertical="center" wrapText="1"/>
    </xf>
    <xf numFmtId="0" fontId="17" fillId="6" borderId="7" xfId="0" applyFont="1" applyFill="1" applyBorder="1" applyAlignment="1">
      <alignment horizontal="center" vertical="center" wrapText="1"/>
    </xf>
    <xf numFmtId="171" fontId="18" fillId="2" borderId="0" xfId="1" applyNumberFormat="1" applyFont="1" applyFill="1" applyBorder="1" applyAlignment="1">
      <alignment horizontal="center" vertical="center" wrapText="1"/>
    </xf>
    <xf numFmtId="171" fontId="18" fillId="2" borderId="0" xfId="2" applyNumberFormat="1" applyFont="1" applyFill="1" applyBorder="1" applyAlignment="1">
      <alignment horizontal="center" vertical="center" wrapText="1"/>
    </xf>
    <xf numFmtId="1" fontId="17" fillId="2" borderId="34" xfId="1" applyNumberFormat="1" applyFont="1" applyFill="1" applyBorder="1" applyAlignment="1">
      <alignment horizontal="center" vertical="center" wrapText="1"/>
    </xf>
    <xf numFmtId="2" fontId="18" fillId="2" borderId="10" xfId="2" applyNumberFormat="1" applyFont="1" applyFill="1" applyBorder="1" applyAlignment="1">
      <alignment horizontal="center" vertical="center"/>
    </xf>
    <xf numFmtId="1" fontId="26" fillId="2" borderId="35" xfId="1" applyNumberFormat="1" applyFont="1" applyFill="1" applyBorder="1" applyAlignment="1">
      <alignment horizontal="center" vertical="center" wrapText="1"/>
    </xf>
    <xf numFmtId="2" fontId="27" fillId="2" borderId="10" xfId="2" applyNumberFormat="1" applyFont="1" applyFill="1" applyBorder="1" applyAlignment="1">
      <alignment horizontal="center" vertical="center"/>
    </xf>
    <xf numFmtId="0" fontId="26" fillId="2" borderId="36" xfId="0" applyFont="1" applyFill="1" applyBorder="1" applyAlignment="1">
      <alignment horizontal="center" vertical="center" wrapText="1"/>
    </xf>
    <xf numFmtId="2" fontId="27" fillId="2" borderId="14" xfId="2" applyNumberFormat="1" applyFont="1" applyFill="1" applyBorder="1" applyAlignment="1">
      <alignment horizontal="center" vertical="center"/>
    </xf>
    <xf numFmtId="171" fontId="18" fillId="2" borderId="6" xfId="1" applyNumberFormat="1" applyFont="1" applyFill="1" applyBorder="1" applyAlignment="1">
      <alignment horizontal="center" vertical="center"/>
    </xf>
    <xf numFmtId="171" fontId="27" fillId="2" borderId="6" xfId="1" applyNumberFormat="1" applyFont="1" applyFill="1" applyBorder="1" applyAlignment="1">
      <alignment horizontal="center" vertical="center"/>
    </xf>
    <xf numFmtId="171" fontId="27" fillId="2" borderId="8" xfId="1" applyNumberFormat="1" applyFont="1" applyFill="1" applyBorder="1" applyAlignment="1">
      <alignment horizontal="center" vertical="center" wrapText="1"/>
    </xf>
    <xf numFmtId="3" fontId="18" fillId="2" borderId="19" xfId="2" applyNumberFormat="1" applyFont="1" applyFill="1" applyBorder="1" applyAlignment="1">
      <alignment horizontal="center" vertical="center"/>
    </xf>
    <xf numFmtId="3" fontId="27" fillId="2" borderId="19" xfId="2" applyNumberFormat="1" applyFont="1" applyFill="1" applyBorder="1" applyAlignment="1">
      <alignment horizontal="center" vertical="center"/>
    </xf>
    <xf numFmtId="3" fontId="27" fillId="2" borderId="21" xfId="2" applyNumberFormat="1" applyFont="1" applyFill="1" applyBorder="1" applyAlignment="1">
      <alignment horizontal="center" vertical="center"/>
    </xf>
    <xf numFmtId="167" fontId="16" fillId="2" borderId="37" xfId="0" applyNumberFormat="1" applyFont="1" applyFill="1" applyBorder="1" applyAlignment="1">
      <alignment horizontal="center" vertical="center"/>
    </xf>
    <xf numFmtId="167" fontId="16" fillId="2" borderId="38" xfId="0" applyNumberFormat="1" applyFont="1" applyFill="1" applyBorder="1" applyAlignment="1">
      <alignment horizontal="center" vertical="center"/>
    </xf>
    <xf numFmtId="0" fontId="4" fillId="2" borderId="39" xfId="0" applyFont="1" applyFill="1" applyBorder="1" applyAlignment="1">
      <alignment horizontal="center" vertical="center" wrapText="1"/>
    </xf>
    <xf numFmtId="0" fontId="4" fillId="2" borderId="40" xfId="0" applyNumberFormat="1" applyFont="1" applyFill="1" applyBorder="1" applyAlignment="1">
      <alignment horizontal="center" vertical="center"/>
    </xf>
    <xf numFmtId="0" fontId="4" fillId="2" borderId="41" xfId="0" applyNumberFormat="1" applyFont="1" applyFill="1" applyBorder="1" applyAlignment="1">
      <alignment horizontal="center" vertical="center"/>
    </xf>
    <xf numFmtId="0" fontId="4" fillId="2" borderId="42" xfId="0" applyFont="1" applyFill="1" applyBorder="1" applyAlignment="1">
      <alignment horizontal="center" vertical="center" wrapText="1"/>
    </xf>
    <xf numFmtId="167" fontId="16" fillId="2" borderId="43" xfId="0" applyNumberFormat="1" applyFont="1" applyFill="1" applyBorder="1" applyAlignment="1">
      <alignment horizontal="center" vertical="center"/>
    </xf>
    <xf numFmtId="0" fontId="4" fillId="2" borderId="44" xfId="0" applyFont="1" applyFill="1" applyBorder="1" applyAlignment="1">
      <alignment horizontal="center" vertical="center" wrapText="1"/>
    </xf>
    <xf numFmtId="0" fontId="4" fillId="2" borderId="45" xfId="0" applyFont="1" applyFill="1" applyBorder="1" applyAlignment="1">
      <alignment horizontal="center" vertical="center" wrapText="1"/>
    </xf>
    <xf numFmtId="167" fontId="16" fillId="2" borderId="46" xfId="0" applyNumberFormat="1" applyFont="1" applyFill="1" applyBorder="1" applyAlignment="1">
      <alignment horizontal="center" vertical="center"/>
    </xf>
    <xf numFmtId="167" fontId="16" fillId="2" borderId="47" xfId="0" applyNumberFormat="1" applyFont="1" applyFill="1" applyBorder="1" applyAlignment="1">
      <alignment horizontal="center" vertical="center"/>
    </xf>
    <xf numFmtId="167" fontId="16" fillId="2" borderId="48" xfId="0" applyNumberFormat="1" applyFont="1" applyFill="1" applyBorder="1" applyAlignment="1">
      <alignment horizontal="center" vertical="center"/>
    </xf>
    <xf numFmtId="167" fontId="16" fillId="2" borderId="49" xfId="0" applyNumberFormat="1" applyFont="1" applyFill="1" applyBorder="1" applyAlignment="1">
      <alignment horizontal="center" vertical="center"/>
    </xf>
    <xf numFmtId="0" fontId="4" fillId="2" borderId="50" xfId="0" applyFont="1" applyFill="1" applyBorder="1" applyAlignment="1">
      <alignment horizontal="center" vertical="center" wrapText="1"/>
    </xf>
    <xf numFmtId="167" fontId="16" fillId="2" borderId="51" xfId="0" applyNumberFormat="1" applyFont="1" applyFill="1" applyBorder="1" applyAlignment="1">
      <alignment horizontal="center" vertical="center"/>
    </xf>
    <xf numFmtId="0" fontId="14" fillId="0" borderId="3"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0" fillId="0" borderId="0" xfId="0" applyFont="1" applyAlignment="1">
      <alignment wrapText="1"/>
    </xf>
    <xf numFmtId="0" fontId="13" fillId="4" borderId="0" xfId="0" applyFont="1" applyFill="1" applyAlignment="1">
      <alignment horizontal="left" vertical="center" wrapText="1"/>
    </xf>
    <xf numFmtId="0" fontId="12" fillId="5" borderId="0" xfId="5" applyFont="1" applyFill="1" applyAlignment="1" applyProtection="1">
      <alignment horizontal="center"/>
    </xf>
    <xf numFmtId="0" fontId="15" fillId="0" borderId="0" xfId="0" applyFont="1" applyFill="1" applyAlignment="1">
      <alignment horizontal="left" wrapText="1"/>
    </xf>
    <xf numFmtId="0" fontId="7" fillId="0" borderId="0" xfId="4" applyFill="1" applyAlignment="1">
      <alignment horizontal="left" vertical="center" wrapText="1"/>
    </xf>
    <xf numFmtId="0" fontId="11" fillId="3" borderId="0" xfId="0" applyFont="1" applyFill="1" applyAlignment="1">
      <alignment horizontal="left" wrapText="1"/>
    </xf>
    <xf numFmtId="0" fontId="9" fillId="0" borderId="0" xfId="0" applyFont="1" applyAlignment="1">
      <alignment horizontal="left" vertical="center" wrapText="1"/>
    </xf>
    <xf numFmtId="0" fontId="11" fillId="3" borderId="0" xfId="3" applyFont="1" applyFill="1" applyBorder="1" applyAlignment="1">
      <alignment horizontal="left" wrapText="1"/>
    </xf>
    <xf numFmtId="0" fontId="5" fillId="2" borderId="0" xfId="0" applyFont="1" applyFill="1" applyAlignment="1">
      <alignment horizontal="left" wrapText="1"/>
    </xf>
    <xf numFmtId="0" fontId="5" fillId="2" borderId="0" xfId="0" applyFont="1" applyFill="1" applyAlignment="1">
      <alignment horizontal="left" vertical="center" wrapText="1"/>
    </xf>
    <xf numFmtId="0" fontId="5" fillId="2" borderId="0" xfId="0" applyFont="1" applyFill="1" applyAlignment="1">
      <alignment horizontal="left" vertical="top" wrapText="1"/>
    </xf>
    <xf numFmtId="0" fontId="17" fillId="6" borderId="5"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17" fillId="6" borderId="30" xfId="0" applyFont="1" applyFill="1" applyBorder="1" applyAlignment="1">
      <alignment horizontal="center" vertical="center" wrapText="1"/>
    </xf>
    <xf numFmtId="0" fontId="17" fillId="6" borderId="32" xfId="0" applyFont="1" applyFill="1" applyBorder="1" applyAlignment="1">
      <alignment horizontal="center" vertical="center" wrapText="1"/>
    </xf>
    <xf numFmtId="0" fontId="17" fillId="6" borderId="31" xfId="0" applyFont="1" applyFill="1" applyBorder="1" applyAlignment="1">
      <alignment horizontal="center" vertical="center" wrapText="1"/>
    </xf>
    <xf numFmtId="0" fontId="17" fillId="6" borderId="15" xfId="0" applyFont="1" applyFill="1" applyBorder="1" applyAlignment="1">
      <alignment horizontal="center" vertical="center" wrapText="1"/>
    </xf>
  </cellXfs>
  <cellStyles count="6">
    <cellStyle name="Lien hypertexte" xfId="4" builtinId="8"/>
    <cellStyle name="Lien hypertexte_Données trimestrielles sur les heures supplémentaires (juillet 2012)" xfId="5" xr:uid="{00000000-0005-0000-0000-000001000000}"/>
    <cellStyle name="Milliers" xfId="1" builtinId="3"/>
    <cellStyle name="Normal" xfId="0" builtinId="0"/>
    <cellStyle name="Normal_Tdb_CIVIS_finjuillet2011_internet" xfId="3" xr:uid="{00000000-0005-0000-0000-000004000000}"/>
    <cellStyle name="Pourcentage" xfId="2" builtinId="5"/>
  </cellStyles>
  <dxfs count="0"/>
  <tableStyles count="0" defaultTableStyle="TableStyleMedium2" defaultPivotStyle="PivotStyleLight16"/>
  <colors>
    <mruColors>
      <color rgb="FFFF8D7E"/>
      <color rgb="FF484D7A"/>
      <color rgb="FFFFF7DD"/>
      <color rgb="FFDDDDDD"/>
      <color rgb="FFEAEAEA"/>
      <color rgb="FFF8F8F8"/>
      <color rgb="FFFDCF41"/>
      <color rgb="FF11499E"/>
      <color rgb="FF2D378C"/>
      <color rgb="FFFFE5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4.4630928835317385E-2"/>
          <c:y val="8.9791776027996498E-2"/>
          <c:w val="0.94233589580923238"/>
          <c:h val="0.69747908624555865"/>
        </c:manualLayout>
      </c:layout>
      <c:barChart>
        <c:barDir val="col"/>
        <c:grouping val="stacked"/>
        <c:varyColors val="0"/>
        <c:ser>
          <c:idx val="1"/>
          <c:order val="1"/>
          <c:tx>
            <c:strRef>
              <c:f>'Graphique 1'!$D$33</c:f>
              <c:strCache>
                <c:ptCount val="1"/>
                <c:pt idx="0">
                  <c:v>Impôt au barème</c:v>
                </c:pt>
              </c:strCache>
            </c:strRef>
          </c:tx>
          <c:spPr>
            <a:solidFill>
              <a:schemeClr val="accent5">
                <a:lumMod val="50000"/>
              </a:schemeClr>
            </a:solidFill>
            <a:ln>
              <a:noFill/>
            </a:ln>
            <a:effectLst/>
          </c:spPr>
          <c:invertIfNegative val="0"/>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1'!$D$34:$D$42</c:f>
              <c:numCache>
                <c:formatCode>#\ ##0.0</c:formatCode>
                <c:ptCount val="9"/>
                <c:pt idx="0">
                  <c:v>0.83799999999999386</c:v>
                </c:pt>
                <c:pt idx="1">
                  <c:v>2.7999999999999972</c:v>
                </c:pt>
                <c:pt idx="2">
                  <c:v>0.60000000000000853</c:v>
                </c:pt>
                <c:pt idx="3">
                  <c:v>0.5</c:v>
                </c:pt>
                <c:pt idx="4">
                  <c:v>-5.1000000000000085</c:v>
                </c:pt>
                <c:pt idx="5">
                  <c:v>4.8</c:v>
                </c:pt>
                <c:pt idx="6">
                  <c:v>2.8</c:v>
                </c:pt>
                <c:pt idx="7">
                  <c:v>2.512999999999991</c:v>
                </c:pt>
                <c:pt idx="8">
                  <c:v>6.585000000000008</c:v>
                </c:pt>
              </c:numCache>
            </c:numRef>
          </c:val>
          <c:extLst>
            <c:ext xmlns:c16="http://schemas.microsoft.com/office/drawing/2014/chart" uri="{C3380CC4-5D6E-409C-BE32-E72D297353CC}">
              <c16:uniqueId val="{00000001-6FF9-4AFF-A87B-C2026921D938}"/>
            </c:ext>
          </c:extLst>
        </c:ser>
        <c:ser>
          <c:idx val="2"/>
          <c:order val="2"/>
          <c:tx>
            <c:strRef>
              <c:f>'Graphique 1'!$E$33</c:f>
              <c:strCache>
                <c:ptCount val="1"/>
                <c:pt idx="0">
                  <c:v>Impôt hors barème</c:v>
                </c:pt>
              </c:strCache>
            </c:strRef>
          </c:tx>
          <c:spPr>
            <a:solidFill>
              <a:schemeClr val="accent5">
                <a:lumMod val="75000"/>
              </a:schemeClr>
            </a:solidFill>
            <a:ln>
              <a:noFill/>
            </a:ln>
            <a:effectLst/>
          </c:spPr>
          <c:invertIfNegative val="0"/>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1'!$E$34:$E$42</c:f>
              <c:numCache>
                <c:formatCode>#\ ##0.0</c:formatCode>
                <c:ptCount val="9"/>
                <c:pt idx="0">
                  <c:v>-0.125</c:v>
                </c:pt>
                <c:pt idx="1">
                  <c:v>-8.1000000000000072E-2</c:v>
                </c:pt>
                <c:pt idx="2">
                  <c:v>4.5379999999999994</c:v>
                </c:pt>
                <c:pt idx="3">
                  <c:v>0.32200000000000006</c:v>
                </c:pt>
                <c:pt idx="4">
                  <c:v>-0.36199999999999921</c:v>
                </c:pt>
                <c:pt idx="5">
                  <c:v>2.4159999999999995</c:v>
                </c:pt>
                <c:pt idx="6">
                  <c:v>9.4999999999999751E-2</c:v>
                </c:pt>
                <c:pt idx="7">
                  <c:v>9.8000000000000753E-2</c:v>
                </c:pt>
                <c:pt idx="8">
                  <c:v>2.7199999999999998</c:v>
                </c:pt>
              </c:numCache>
            </c:numRef>
          </c:val>
          <c:extLst>
            <c:ext xmlns:c16="http://schemas.microsoft.com/office/drawing/2014/chart" uri="{C3380CC4-5D6E-409C-BE32-E72D297353CC}">
              <c16:uniqueId val="{00000002-6FF9-4AFF-A87B-C2026921D938}"/>
            </c:ext>
          </c:extLst>
        </c:ser>
        <c:ser>
          <c:idx val="3"/>
          <c:order val="3"/>
          <c:tx>
            <c:strRef>
              <c:f>'Graphique 1'!$F$33</c:f>
              <c:strCache>
                <c:ptCount val="1"/>
                <c:pt idx="0">
                  <c:v>CEHR</c:v>
                </c:pt>
              </c:strCache>
            </c:strRef>
          </c:tx>
          <c:spPr>
            <a:solidFill>
              <a:schemeClr val="accent5">
                <a:lumMod val="60000"/>
                <a:lumOff val="40000"/>
              </a:schemeClr>
            </a:solidFill>
            <a:ln>
              <a:noFill/>
            </a:ln>
            <a:effectLst/>
          </c:spPr>
          <c:invertIfNegative val="0"/>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1'!$F$34:$F$42</c:f>
              <c:numCache>
                <c:formatCode>#\ ##0.0</c:formatCode>
                <c:ptCount val="9"/>
                <c:pt idx="0">
                  <c:v>0</c:v>
                </c:pt>
                <c:pt idx="1">
                  <c:v>-5.0000000000000044E-3</c:v>
                </c:pt>
                <c:pt idx="2">
                  <c:v>0.44499999999999995</c:v>
                </c:pt>
                <c:pt idx="3">
                  <c:v>-3.499999999999992E-2</c:v>
                </c:pt>
                <c:pt idx="4">
                  <c:v>-8.4999999999999964E-2</c:v>
                </c:pt>
                <c:pt idx="5">
                  <c:v>0.56400000000000006</c:v>
                </c:pt>
                <c:pt idx="6">
                  <c:v>2.6999999999999913E-2</c:v>
                </c:pt>
                <c:pt idx="7">
                  <c:v>-0.10400000000000009</c:v>
                </c:pt>
                <c:pt idx="8">
                  <c:v>0.47100000000000009</c:v>
                </c:pt>
              </c:numCache>
            </c:numRef>
          </c:val>
          <c:extLst>
            <c:ext xmlns:c16="http://schemas.microsoft.com/office/drawing/2014/chart" uri="{C3380CC4-5D6E-409C-BE32-E72D297353CC}">
              <c16:uniqueId val="{00000003-6FF9-4AFF-A87B-C2026921D938}"/>
            </c:ext>
          </c:extLst>
        </c:ser>
        <c:ser>
          <c:idx val="4"/>
          <c:order val="4"/>
          <c:tx>
            <c:strRef>
              <c:f>'Graphique 1'!$G$33</c:f>
              <c:strCache>
                <c:ptCount val="1"/>
                <c:pt idx="0">
                  <c:v>RICI</c:v>
                </c:pt>
              </c:strCache>
            </c:strRef>
          </c:tx>
          <c:spPr>
            <a:solidFill>
              <a:schemeClr val="accent5">
                <a:lumMod val="40000"/>
                <a:lumOff val="60000"/>
              </a:schemeClr>
            </a:solidFill>
            <a:ln w="25400">
              <a:noFill/>
            </a:ln>
            <a:effectLst/>
          </c:spPr>
          <c:invertIfNegative val="0"/>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1'!$G$34:$G$42</c:f>
              <c:numCache>
                <c:formatCode>#\ ##0.0</c:formatCode>
                <c:ptCount val="9"/>
                <c:pt idx="0">
                  <c:v>0.13299999999999901</c:v>
                </c:pt>
                <c:pt idx="1">
                  <c:v>-1.9990000000000001</c:v>
                </c:pt>
                <c:pt idx="2">
                  <c:v>0.97200000000000097</c:v>
                </c:pt>
                <c:pt idx="3">
                  <c:v>-0.36100000000000099</c:v>
                </c:pt>
                <c:pt idx="4">
                  <c:v>0.35699999999999898</c:v>
                </c:pt>
                <c:pt idx="5">
                  <c:v>-3.3999999999998899E-2</c:v>
                </c:pt>
                <c:pt idx="6">
                  <c:v>-0.97599999999999898</c:v>
                </c:pt>
                <c:pt idx="7">
                  <c:v>-1.077</c:v>
                </c:pt>
                <c:pt idx="8">
                  <c:v>-1.7170000000000001</c:v>
                </c:pt>
              </c:numCache>
            </c:numRef>
          </c:val>
          <c:extLst>
            <c:ext xmlns:c16="http://schemas.microsoft.com/office/drawing/2014/chart" uri="{C3380CC4-5D6E-409C-BE32-E72D297353CC}">
              <c16:uniqueId val="{00000000-D56A-4CEF-93C7-C9281A1A890A}"/>
            </c:ext>
          </c:extLst>
        </c:ser>
        <c:ser>
          <c:idx val="5"/>
          <c:order val="5"/>
          <c:tx>
            <c:strRef>
              <c:f>'Graphique 1'!$H$33</c:f>
              <c:strCache>
                <c:ptCount val="1"/>
                <c:pt idx="0">
                  <c:v>Autres (***)</c:v>
                </c:pt>
              </c:strCache>
            </c:strRef>
          </c:tx>
          <c:spPr>
            <a:solidFill>
              <a:schemeClr val="accent5">
                <a:lumMod val="20000"/>
                <a:lumOff val="80000"/>
              </a:schemeClr>
            </a:solidFill>
            <a:ln w="25400">
              <a:noFill/>
            </a:ln>
            <a:effectLst/>
          </c:spPr>
          <c:invertIfNegative val="0"/>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1'!$H$34:$H$42</c:f>
              <c:numCache>
                <c:formatCode>#\ ##0.0</c:formatCode>
                <c:ptCount val="9"/>
                <c:pt idx="0">
                  <c:v>0.35400000000000997</c:v>
                </c:pt>
                <c:pt idx="1">
                  <c:v>0.48500000000000565</c:v>
                </c:pt>
                <c:pt idx="2">
                  <c:v>-0.45500000000001517</c:v>
                </c:pt>
                <c:pt idx="3">
                  <c:v>-1.1259999999999879</c:v>
                </c:pt>
                <c:pt idx="4">
                  <c:v>2.2900000000000027</c:v>
                </c:pt>
                <c:pt idx="5">
                  <c:v>-0.94600000000000328</c:v>
                </c:pt>
                <c:pt idx="6">
                  <c:v>-0.64600000000000346</c:v>
                </c:pt>
                <c:pt idx="7">
                  <c:v>-2.9999999999986038E-2</c:v>
                </c:pt>
                <c:pt idx="8">
                  <c:v>0.20099999999999874</c:v>
                </c:pt>
              </c:numCache>
            </c:numRef>
          </c:val>
          <c:extLst>
            <c:ext xmlns:c16="http://schemas.microsoft.com/office/drawing/2014/chart" uri="{C3380CC4-5D6E-409C-BE32-E72D297353CC}">
              <c16:uniqueId val="{00000001-D56A-4CEF-93C7-C9281A1A890A}"/>
            </c:ext>
          </c:extLst>
        </c:ser>
        <c:dLbls>
          <c:showLegendKey val="0"/>
          <c:showVal val="0"/>
          <c:showCatName val="0"/>
          <c:showSerName val="0"/>
          <c:showPercent val="0"/>
          <c:showBubbleSize val="0"/>
        </c:dLbls>
        <c:gapWidth val="90"/>
        <c:overlap val="100"/>
        <c:axId val="350888624"/>
        <c:axId val="350889872"/>
      </c:barChart>
      <c:lineChart>
        <c:grouping val="standard"/>
        <c:varyColors val="0"/>
        <c:ser>
          <c:idx val="0"/>
          <c:order val="0"/>
          <c:tx>
            <c:strRef>
              <c:f>'Graphique 1'!$C$33</c:f>
              <c:strCache>
                <c:ptCount val="1"/>
                <c:pt idx="0">
                  <c:v>Impôt total net</c:v>
                </c:pt>
              </c:strCache>
            </c:strRef>
          </c:tx>
          <c:spPr>
            <a:ln w="38100" cap="rnd">
              <a:noFill/>
              <a:round/>
            </a:ln>
            <a:effectLst/>
          </c:spPr>
          <c:marker>
            <c:symbol val="circle"/>
            <c:size val="8"/>
            <c:spPr>
              <a:solidFill>
                <a:schemeClr val="tx1"/>
              </a:solidFill>
              <a:ln>
                <a:noFill/>
              </a:ln>
              <a:effectLst/>
            </c:spPr>
          </c:marker>
          <c:cat>
            <c:strRef>
              <c:f>'Graphique 1'!$B$34:$B$42</c:f>
              <c:strCache>
                <c:ptCount val="9"/>
                <c:pt idx="0">
                  <c:v>2016</c:v>
                </c:pt>
                <c:pt idx="1">
                  <c:v>2017</c:v>
                </c:pt>
                <c:pt idx="2">
                  <c:v>2018(*)</c:v>
                </c:pt>
                <c:pt idx="3">
                  <c:v>2019(*)</c:v>
                </c:pt>
                <c:pt idx="4">
                  <c:v>2020</c:v>
                </c:pt>
                <c:pt idx="5">
                  <c:v>2021</c:v>
                </c:pt>
                <c:pt idx="6">
                  <c:v>2022</c:v>
                </c:pt>
                <c:pt idx="7">
                  <c:v>2023</c:v>
                </c:pt>
                <c:pt idx="8">
                  <c:v>2024(**)</c:v>
                </c:pt>
              </c:strCache>
            </c:strRef>
          </c:cat>
          <c:val>
            <c:numRef>
              <c:f>'Graphique 1'!$C$34:$C$42</c:f>
              <c:numCache>
                <c:formatCode>#\ ##0.0</c:formatCode>
                <c:ptCount val="9"/>
                <c:pt idx="0">
                  <c:v>1.2000000000000028</c:v>
                </c:pt>
                <c:pt idx="1">
                  <c:v>1.2000000000000028</c:v>
                </c:pt>
                <c:pt idx="2">
                  <c:v>6.0999999999999943</c:v>
                </c:pt>
                <c:pt idx="3">
                  <c:v>-0.69999999999998863</c:v>
                </c:pt>
                <c:pt idx="4">
                  <c:v>-2.9000000000000057</c:v>
                </c:pt>
                <c:pt idx="5">
                  <c:v>6.7999999999999972</c:v>
                </c:pt>
                <c:pt idx="6">
                  <c:v>1.2999999999999972</c:v>
                </c:pt>
                <c:pt idx="7">
                  <c:v>1.4000000000000057</c:v>
                </c:pt>
                <c:pt idx="8">
                  <c:v>8.2600000000000051</c:v>
                </c:pt>
              </c:numCache>
            </c:numRef>
          </c:val>
          <c:smooth val="0"/>
          <c:extLst>
            <c:ext xmlns:c16="http://schemas.microsoft.com/office/drawing/2014/chart" uri="{C3380CC4-5D6E-409C-BE32-E72D297353CC}">
              <c16:uniqueId val="{00000000-6FF9-4AFF-A87B-C2026921D938}"/>
            </c:ext>
          </c:extLst>
        </c:ser>
        <c:dLbls>
          <c:showLegendKey val="0"/>
          <c:showVal val="0"/>
          <c:showCatName val="0"/>
          <c:showSerName val="0"/>
          <c:showPercent val="0"/>
          <c:showBubbleSize val="0"/>
        </c:dLbls>
        <c:marker val="1"/>
        <c:smooth val="0"/>
        <c:axId val="350888624"/>
        <c:axId val="350889872"/>
      </c:lineChart>
      <c:catAx>
        <c:axId val="350888624"/>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800" b="1" i="0" u="none" strike="noStrike" kern="1200" cap="none" spc="0" normalizeH="0" baseline="0">
                <a:solidFill>
                  <a:sysClr val="windowText" lastClr="000000"/>
                </a:solidFill>
                <a:latin typeface="+mn-lt"/>
                <a:ea typeface="+mn-ea"/>
                <a:cs typeface="+mn-cs"/>
              </a:defRPr>
            </a:pPr>
            <a:endParaRPr lang="fr-FR"/>
          </a:p>
        </c:txPr>
        <c:crossAx val="350889872"/>
        <c:crosses val="autoZero"/>
        <c:auto val="1"/>
        <c:lblAlgn val="ctr"/>
        <c:lblOffset val="100"/>
        <c:noMultiLvlLbl val="0"/>
      </c:catAx>
      <c:valAx>
        <c:axId val="350889872"/>
        <c:scaling>
          <c:orientation val="minMax"/>
          <c:max val="10"/>
          <c:min val="-6"/>
        </c:scaling>
        <c:delete val="0"/>
        <c:axPos val="l"/>
        <c:title>
          <c:tx>
            <c:rich>
              <a:bodyPr rot="0" spcFirstLastPara="1" vertOverflow="ellipsis" wrap="square" anchor="ctr" anchorCtr="1"/>
              <a:lstStyle/>
              <a:p>
                <a:pPr>
                  <a:defRPr sz="1800" b="0" i="0" u="none" strike="noStrike" kern="1200" cap="all" baseline="0">
                    <a:solidFill>
                      <a:sysClr val="windowText" lastClr="000000"/>
                    </a:solidFill>
                    <a:latin typeface="+mn-lt"/>
                    <a:ea typeface="+mn-ea"/>
                    <a:cs typeface="+mn-cs"/>
                  </a:defRPr>
                </a:pPr>
                <a:r>
                  <a:rPr lang="fr-FR" sz="1800" b="1" cap="none" baseline="0">
                    <a:solidFill>
                      <a:sysClr val="windowText" lastClr="000000"/>
                    </a:solidFill>
                  </a:rPr>
                  <a:t>Md€</a:t>
                </a:r>
              </a:p>
            </c:rich>
          </c:tx>
          <c:layout>
            <c:manualLayout>
              <c:xMode val="edge"/>
              <c:yMode val="edge"/>
              <c:x val="4.7393364928909956E-3"/>
              <c:y val="7.2842325138486525E-4"/>
            </c:manualLayout>
          </c:layout>
          <c:overlay val="0"/>
          <c:spPr>
            <a:noFill/>
            <a:ln>
              <a:noFill/>
            </a:ln>
            <a:effectLst/>
          </c:spPr>
          <c:txPr>
            <a:bodyPr rot="0" spcFirstLastPara="1" vertOverflow="ellipsis" wrap="square" anchor="ctr" anchorCtr="1"/>
            <a:lstStyle/>
            <a:p>
              <a:pPr>
                <a:defRPr sz="1800" b="0" i="0" u="none" strike="noStrike" kern="1200" cap="all"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fr-FR"/>
          </a:p>
        </c:txPr>
        <c:crossAx val="350888624"/>
        <c:crosses val="autoZero"/>
        <c:crossBetween val="between"/>
      </c:valAx>
      <c:spPr>
        <a:noFill/>
        <a:ln>
          <a:noFill/>
        </a:ln>
        <a:effectLst/>
      </c:spPr>
    </c:plotArea>
    <c:legend>
      <c:legendPos val="b"/>
      <c:layout>
        <c:manualLayout>
          <c:xMode val="edge"/>
          <c:yMode val="edge"/>
          <c:x val="4.0164477366869428E-2"/>
          <c:y val="0.90312467191601054"/>
          <c:w val="0.93625872299137958"/>
          <c:h val="8.020866141732283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639536</xdr:colOff>
      <xdr:row>20</xdr:row>
      <xdr:rowOff>108858</xdr:rowOff>
    </xdr:from>
    <xdr:to>
      <xdr:col>10</xdr:col>
      <xdr:colOff>462643</xdr:colOff>
      <xdr:row>24</xdr:row>
      <xdr:rowOff>68036</xdr:rowOff>
    </xdr:to>
    <xdr:sp macro="" textlink="">
      <xdr:nvSpPr>
        <xdr:cNvPr id="3" name="Rectangle 2">
          <a:extLst>
            <a:ext uri="{FF2B5EF4-FFF2-40B4-BE49-F238E27FC236}">
              <a16:creationId xmlns:a16="http://schemas.microsoft.com/office/drawing/2014/main" id="{3A0C98AA-ACA5-1FEB-73B5-582F9A5B33E8}"/>
            </a:ext>
          </a:extLst>
        </xdr:cNvPr>
        <xdr:cNvSpPr/>
      </xdr:nvSpPr>
      <xdr:spPr>
        <a:xfrm>
          <a:off x="20927786" y="4068537"/>
          <a:ext cx="503464" cy="721178"/>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44450</xdr:colOff>
      <xdr:row>2</xdr:row>
      <xdr:rowOff>25400</xdr:rowOff>
    </xdr:from>
    <xdr:to>
      <xdr:col>5</xdr:col>
      <xdr:colOff>539750</xdr:colOff>
      <xdr:row>25</xdr:row>
      <xdr:rowOff>555625</xdr:rowOff>
    </xdr:to>
    <xdr:graphicFrame macro="">
      <xdr:nvGraphicFramePr>
        <xdr:cNvPr id="5" name="Graphique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
  <sheetViews>
    <sheetView workbookViewId="0">
      <selection activeCell="C20" sqref="C20"/>
    </sheetView>
  </sheetViews>
  <sheetFormatPr baseColWidth="10" defaultRowHeight="15" x14ac:dyDescent="0.25"/>
  <cols>
    <col min="1" max="1" width="21.7109375" customWidth="1"/>
    <col min="9" max="9" width="23.140625" customWidth="1"/>
  </cols>
  <sheetData>
    <row r="1" spans="1:9" ht="21" x14ac:dyDescent="0.35">
      <c r="A1" s="182" t="s">
        <v>68</v>
      </c>
      <c r="B1" s="183"/>
      <c r="C1" s="183"/>
      <c r="D1" s="183"/>
      <c r="E1" s="183"/>
      <c r="F1" s="183"/>
      <c r="G1" s="183"/>
      <c r="H1" s="183"/>
      <c r="I1" s="184"/>
    </row>
    <row r="2" spans="1:9" ht="15.75" customHeight="1" x14ac:dyDescent="0.25">
      <c r="A2" s="188" t="s">
        <v>69</v>
      </c>
      <c r="B2" s="188"/>
      <c r="C2" s="188"/>
      <c r="D2" s="188"/>
      <c r="E2" s="188"/>
      <c r="F2" s="188"/>
      <c r="G2" s="188"/>
      <c r="H2" s="188"/>
      <c r="I2" s="188"/>
    </row>
    <row r="3" spans="1:9" x14ac:dyDescent="0.25">
      <c r="A3" s="185"/>
      <c r="B3" s="185"/>
      <c r="C3" s="185"/>
      <c r="D3" s="185"/>
      <c r="E3" s="185"/>
      <c r="F3" s="185"/>
      <c r="G3" s="185"/>
      <c r="H3" s="185"/>
      <c r="I3" s="185"/>
    </row>
    <row r="4" spans="1:9" x14ac:dyDescent="0.25">
      <c r="A4" s="190" t="s">
        <v>9</v>
      </c>
      <c r="B4" s="190"/>
      <c r="C4" s="190"/>
      <c r="D4" s="190"/>
      <c r="E4" s="190"/>
      <c r="F4" s="190"/>
      <c r="G4" s="190"/>
      <c r="H4" s="190"/>
      <c r="I4" s="190"/>
    </row>
    <row r="5" spans="1:9" ht="26.25" customHeight="1" x14ac:dyDescent="0.25">
      <c r="A5" s="191" t="s">
        <v>109</v>
      </c>
      <c r="B5" s="191"/>
      <c r="C5" s="191"/>
      <c r="D5" s="191"/>
      <c r="E5" s="191"/>
      <c r="F5" s="191"/>
      <c r="G5" s="191"/>
      <c r="H5" s="191"/>
      <c r="I5" s="191"/>
    </row>
    <row r="6" spans="1:9" x14ac:dyDescent="0.25">
      <c r="A6" s="192" t="s">
        <v>8</v>
      </c>
      <c r="B6" s="192"/>
      <c r="C6" s="192"/>
      <c r="D6" s="192"/>
      <c r="E6" s="192"/>
      <c r="F6" s="192"/>
      <c r="G6" s="192"/>
      <c r="H6" s="192"/>
      <c r="I6" s="192"/>
    </row>
    <row r="7" spans="1:9" ht="26.25" customHeight="1" x14ac:dyDescent="0.25">
      <c r="A7" s="191" t="s">
        <v>108</v>
      </c>
      <c r="B7" s="191"/>
      <c r="C7" s="191"/>
      <c r="D7" s="191"/>
      <c r="E7" s="191"/>
      <c r="F7" s="191"/>
      <c r="G7" s="191"/>
      <c r="H7" s="191"/>
      <c r="I7" s="191"/>
    </row>
    <row r="8" spans="1:9" x14ac:dyDescent="0.25">
      <c r="A8" s="190" t="s">
        <v>7</v>
      </c>
      <c r="B8" s="190"/>
      <c r="C8" s="190"/>
      <c r="D8" s="190"/>
      <c r="E8" s="190"/>
      <c r="F8" s="190"/>
      <c r="G8" s="190"/>
      <c r="H8" s="190"/>
      <c r="I8" s="190"/>
    </row>
    <row r="9" spans="1:9" x14ac:dyDescent="0.25">
      <c r="A9" s="189" t="s">
        <v>105</v>
      </c>
      <c r="B9" s="189"/>
      <c r="C9" s="189"/>
      <c r="D9" s="189"/>
      <c r="E9" s="189"/>
      <c r="F9" s="189"/>
      <c r="G9" s="189"/>
      <c r="H9" s="189"/>
      <c r="I9" s="189"/>
    </row>
    <row r="10" spans="1:9" x14ac:dyDescent="0.25">
      <c r="A10" s="189" t="s">
        <v>65</v>
      </c>
      <c r="B10" s="189"/>
      <c r="C10" s="189"/>
      <c r="D10" s="189"/>
      <c r="E10" s="189"/>
      <c r="F10" s="189"/>
      <c r="G10" s="189"/>
      <c r="H10" s="189"/>
      <c r="I10" s="189"/>
    </row>
    <row r="11" spans="1:9" x14ac:dyDescent="0.25">
      <c r="A11" s="189" t="s">
        <v>100</v>
      </c>
      <c r="B11" s="189"/>
      <c r="C11" s="189"/>
      <c r="D11" s="189"/>
      <c r="E11" s="189"/>
      <c r="F11" s="189"/>
      <c r="G11" s="189"/>
      <c r="H11" s="189"/>
      <c r="I11" s="189"/>
    </row>
    <row r="12" spans="1:9" x14ac:dyDescent="0.25">
      <c r="A12" s="189" t="s">
        <v>97</v>
      </c>
      <c r="B12" s="189"/>
      <c r="C12" s="189"/>
      <c r="D12" s="189"/>
      <c r="E12" s="189"/>
      <c r="F12" s="189"/>
      <c r="G12" s="189"/>
      <c r="H12" s="189"/>
      <c r="I12" s="189"/>
    </row>
    <row r="13" spans="1:9" x14ac:dyDescent="0.25">
      <c r="A13" s="189" t="s">
        <v>92</v>
      </c>
      <c r="B13" s="189"/>
      <c r="C13" s="189"/>
      <c r="D13" s="189"/>
      <c r="E13" s="189"/>
      <c r="F13" s="189"/>
      <c r="G13" s="189"/>
      <c r="H13" s="189"/>
      <c r="I13" s="189"/>
    </row>
    <row r="14" spans="1:9" x14ac:dyDescent="0.25">
      <c r="A14" s="186"/>
      <c r="B14" s="186"/>
      <c r="C14" s="186"/>
      <c r="D14" s="186"/>
      <c r="E14" s="186"/>
      <c r="F14" s="186"/>
      <c r="G14" s="186"/>
      <c r="H14" s="186"/>
      <c r="I14" s="186"/>
    </row>
    <row r="15" spans="1:9" x14ac:dyDescent="0.25">
      <c r="A15" s="187" t="s">
        <v>6</v>
      </c>
      <c r="B15" s="187"/>
      <c r="C15" s="187"/>
      <c r="D15" s="187"/>
      <c r="E15" s="187"/>
      <c r="F15" s="187"/>
      <c r="G15" s="187"/>
      <c r="H15" s="187"/>
      <c r="I15" s="187"/>
    </row>
  </sheetData>
  <mergeCells count="15">
    <mergeCell ref="A1:I1"/>
    <mergeCell ref="A3:I3"/>
    <mergeCell ref="A14:I14"/>
    <mergeCell ref="A15:I15"/>
    <mergeCell ref="A2:I2"/>
    <mergeCell ref="A9:I9"/>
    <mergeCell ref="A10:I10"/>
    <mergeCell ref="A11:I11"/>
    <mergeCell ref="A13:I13"/>
    <mergeCell ref="A12:I12"/>
    <mergeCell ref="A4:I4"/>
    <mergeCell ref="A5:I5"/>
    <mergeCell ref="A6:I6"/>
    <mergeCell ref="A7:I7"/>
    <mergeCell ref="A8:I8"/>
  </mergeCells>
  <hyperlinks>
    <hyperlink ref="A9" location="'Graphique 1'!A1" display="Graphique 1 : Nombre de foyers « IFI » en 2020 et IFI médian par foyer, par tranche de patrimoine" xr:uid="{00000000-0004-0000-0000-000000000000}"/>
    <hyperlink ref="A10:I10" location="'Tableau 1'!A1" display="Tableau 1 : Evolution et décomposition des revenus déclarés des foyers fiscaux perçus en 2022 " xr:uid="{00000000-0004-0000-0000-000001000000}"/>
    <hyperlink ref="A11:I11" location="'Tableau 2'!A1" display="Tableau 2 : Déciles de revenu fiscal par part fiscale, en 2021, et évolution par rapport à 2016 et 2020" xr:uid="{00000000-0004-0000-0000-000002000000}"/>
    <hyperlink ref="A13:I13" location="'Tableau 4'!A1" display="Tableau 4 : Principaux crédits et réductions d’impôt pour l'impôt sur le revenu 2022" xr:uid="{00000000-0004-0000-0000-000003000000}"/>
    <hyperlink ref="A12" location="'Tableau 1'!A1" display="Tableau 1 : Répartition des revenus par catégorie pour les foyers déclarant l’IR et l’IFI en 2020, en %" xr:uid="{00000000-0004-0000-0000-000004000000}"/>
    <hyperlink ref="A9:I9" location="'Graphique 1'!A1" display="Graphique 1 : Évolution du total d’impôt sur le revenu et nombre de foyers fiscaux depuis 2013" xr:uid="{00000000-0004-0000-0000-000005000000}"/>
    <hyperlink ref="A12:I12" location="'Tableau 3'!A1" display="Tableau 3 : Impôt moyen après RICI, RICI moyens et part de l’impôt avant et après RICI dans le RFR, par décile de RFR par part, revenus 2022" xr:uid="{00000000-0004-0000-0000-000006000000}"/>
  </hyperlinks>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5"/>
  <sheetViews>
    <sheetView zoomScale="60" zoomScaleNormal="60" workbookViewId="0">
      <selection activeCell="B27" sqref="B27:J27"/>
    </sheetView>
  </sheetViews>
  <sheetFormatPr baseColWidth="10" defaultColWidth="9.140625" defaultRowHeight="15" x14ac:dyDescent="0.25"/>
  <cols>
    <col min="1" max="1" width="5.42578125" style="2" customWidth="1"/>
    <col min="2" max="2" width="36.42578125" style="2" customWidth="1"/>
    <col min="3" max="3" width="35.7109375" style="2" customWidth="1"/>
    <col min="4" max="4" width="36.7109375" style="2" customWidth="1"/>
    <col min="5" max="5" width="40.140625" style="2" customWidth="1"/>
    <col min="6" max="6" width="37.7109375" style="2" customWidth="1"/>
    <col min="7" max="7" width="40" style="2" customWidth="1"/>
    <col min="8" max="9" width="36" style="2" customWidth="1"/>
    <col min="10" max="10" width="10.140625" style="2" customWidth="1"/>
    <col min="11" max="11" width="11.42578125" style="2" bestFit="1" customWidth="1"/>
    <col min="12" max="12" width="9.7109375" style="3" bestFit="1" customWidth="1"/>
    <col min="13" max="13" width="9.42578125" style="2" customWidth="1"/>
    <col min="14" max="14" width="15.85546875" style="2" bestFit="1" customWidth="1"/>
    <col min="15" max="15" width="9.140625" style="2"/>
    <col min="16" max="16" width="34.42578125" style="2" customWidth="1"/>
    <col min="17" max="17" width="10.28515625" style="2" bestFit="1" customWidth="1"/>
    <col min="18" max="16384" width="9.140625" style="2"/>
  </cols>
  <sheetData>
    <row r="2" spans="2:13" ht="26.25" x14ac:dyDescent="0.4">
      <c r="B2" s="1" t="s">
        <v>105</v>
      </c>
      <c r="E2" s="3"/>
      <c r="F2" s="3"/>
      <c r="G2" s="3"/>
      <c r="H2" s="3"/>
      <c r="I2" s="3"/>
      <c r="J2" s="4"/>
      <c r="K2" s="4"/>
      <c r="L2" s="5"/>
      <c r="M2" s="3"/>
    </row>
    <row r="3" spans="2:13" x14ac:dyDescent="0.25">
      <c r="E3" s="3"/>
      <c r="F3" s="3"/>
      <c r="G3" s="3"/>
      <c r="H3" s="3"/>
      <c r="I3" s="4"/>
      <c r="J3" s="4"/>
      <c r="K3" s="5"/>
    </row>
    <row r="4" spans="2:13" x14ac:dyDescent="0.25">
      <c r="E4" s="3"/>
      <c r="F4" s="3"/>
      <c r="G4" s="3"/>
      <c r="H4" s="3"/>
      <c r="I4" s="3"/>
      <c r="J4" s="4"/>
      <c r="K4" s="4"/>
      <c r="L4" s="5"/>
      <c r="M4" s="3"/>
    </row>
    <row r="5" spans="2:13" x14ac:dyDescent="0.25">
      <c r="E5" s="3"/>
      <c r="F5" s="3"/>
      <c r="G5" s="3"/>
      <c r="H5" s="3"/>
      <c r="I5" s="3"/>
      <c r="J5" s="4"/>
      <c r="K5" s="4"/>
      <c r="L5" s="6"/>
      <c r="M5" s="3"/>
    </row>
    <row r="6" spans="2:13" x14ac:dyDescent="0.25">
      <c r="E6" s="3"/>
      <c r="F6" s="3"/>
      <c r="G6" s="3"/>
      <c r="H6" s="3"/>
      <c r="I6" s="3"/>
      <c r="J6" s="4"/>
      <c r="K6" s="4"/>
      <c r="L6" s="6"/>
      <c r="M6" s="3"/>
    </row>
    <row r="7" spans="2:13" x14ac:dyDescent="0.25">
      <c r="E7" s="3"/>
      <c r="F7" s="3"/>
      <c r="G7" s="3"/>
      <c r="H7" s="3"/>
      <c r="I7" s="3"/>
      <c r="J7" s="4"/>
      <c r="K7" s="4"/>
      <c r="L7" s="6"/>
      <c r="M7" s="3"/>
    </row>
    <row r="8" spans="2:13" x14ac:dyDescent="0.25">
      <c r="L8" s="6"/>
    </row>
    <row r="26" spans="2:12" ht="52.5" customHeight="1" x14ac:dyDescent="0.25"/>
    <row r="27" spans="2:12" ht="84.75" customHeight="1" x14ac:dyDescent="0.35">
      <c r="B27" s="193" t="s">
        <v>111</v>
      </c>
      <c r="C27" s="193"/>
      <c r="D27" s="193"/>
      <c r="E27" s="193"/>
      <c r="F27" s="193"/>
      <c r="G27" s="193"/>
      <c r="H27" s="193"/>
      <c r="I27" s="193"/>
      <c r="J27" s="193"/>
      <c r="K27" s="10"/>
      <c r="L27" s="9"/>
    </row>
    <row r="28" spans="2:12" ht="21" customHeight="1" x14ac:dyDescent="0.35">
      <c r="B28" s="193" t="s">
        <v>104</v>
      </c>
      <c r="C28" s="193"/>
      <c r="D28" s="193"/>
      <c r="E28" s="193"/>
      <c r="F28" s="193"/>
      <c r="G28" s="193"/>
      <c r="H28" s="193"/>
      <c r="I28" s="193"/>
      <c r="J28" s="193"/>
      <c r="K28" s="10"/>
      <c r="L28" s="9"/>
    </row>
    <row r="29" spans="2:12" ht="21" x14ac:dyDescent="0.35">
      <c r="B29" s="193" t="s">
        <v>112</v>
      </c>
      <c r="C29" s="193"/>
      <c r="D29" s="193"/>
      <c r="E29" s="193"/>
      <c r="F29" s="193"/>
      <c r="G29" s="193"/>
      <c r="H29" s="193"/>
      <c r="I29" s="193"/>
      <c r="J29" s="193"/>
      <c r="K29" s="10"/>
      <c r="L29" s="9"/>
    </row>
    <row r="30" spans="2:12" ht="21" x14ac:dyDescent="0.35">
      <c r="L30" s="9"/>
    </row>
    <row r="32" spans="2:12" ht="15.75" thickBot="1" x14ac:dyDescent="0.3"/>
    <row r="33" spans="2:12" ht="26.25" x14ac:dyDescent="0.25">
      <c r="B33" s="169" t="s">
        <v>10</v>
      </c>
      <c r="C33" s="174" t="s">
        <v>106</v>
      </c>
      <c r="D33" s="175" t="s">
        <v>47</v>
      </c>
      <c r="E33" s="180" t="s">
        <v>46</v>
      </c>
      <c r="F33" s="175" t="s">
        <v>61</v>
      </c>
      <c r="G33" s="172" t="s">
        <v>74</v>
      </c>
      <c r="H33" s="121" t="s">
        <v>107</v>
      </c>
      <c r="L33" s="2"/>
    </row>
    <row r="34" spans="2:12" ht="26.25" x14ac:dyDescent="0.25">
      <c r="B34" s="170">
        <v>2016</v>
      </c>
      <c r="C34" s="176">
        <v>1.2000000000000028</v>
      </c>
      <c r="D34" s="177">
        <v>0.83799999999999386</v>
      </c>
      <c r="E34" s="181">
        <v>-0.125</v>
      </c>
      <c r="F34" s="177">
        <v>0</v>
      </c>
      <c r="G34" s="173">
        <v>0.13299999999999901</v>
      </c>
      <c r="H34" s="119">
        <v>0.35400000000000997</v>
      </c>
      <c r="L34" s="2"/>
    </row>
    <row r="35" spans="2:12" ht="26.25" x14ac:dyDescent="0.25">
      <c r="B35" s="170">
        <v>2017</v>
      </c>
      <c r="C35" s="176">
        <v>1.2000000000000028</v>
      </c>
      <c r="D35" s="177">
        <v>2.7999999999999972</v>
      </c>
      <c r="E35" s="176">
        <v>-8.1000000000000072E-2</v>
      </c>
      <c r="F35" s="177">
        <v>-5.0000000000000044E-3</v>
      </c>
      <c r="G35" s="167">
        <v>-1.9990000000000001</v>
      </c>
      <c r="H35" s="119">
        <v>0.48500000000000565</v>
      </c>
      <c r="L35" s="2"/>
    </row>
    <row r="36" spans="2:12" ht="26.25" x14ac:dyDescent="0.25">
      <c r="B36" s="170" t="s">
        <v>19</v>
      </c>
      <c r="C36" s="176">
        <v>6.0999999999999943</v>
      </c>
      <c r="D36" s="177">
        <v>0.60000000000000853</v>
      </c>
      <c r="E36" s="176">
        <v>4.5379999999999994</v>
      </c>
      <c r="F36" s="177">
        <v>0.44499999999999995</v>
      </c>
      <c r="G36" s="167">
        <v>0.97200000000000097</v>
      </c>
      <c r="H36" s="119">
        <v>-0.45500000000001517</v>
      </c>
      <c r="L36" s="2"/>
    </row>
    <row r="37" spans="2:12" ht="26.25" x14ac:dyDescent="0.25">
      <c r="B37" s="170" t="s">
        <v>22</v>
      </c>
      <c r="C37" s="176">
        <v>-0.69999999999998863</v>
      </c>
      <c r="D37" s="177">
        <v>0.5</v>
      </c>
      <c r="E37" s="176">
        <v>0.32200000000000006</v>
      </c>
      <c r="F37" s="177">
        <v>-3.499999999999992E-2</v>
      </c>
      <c r="G37" s="167">
        <v>-0.36100000000000099</v>
      </c>
      <c r="H37" s="119">
        <v>-1.1259999999999879</v>
      </c>
      <c r="L37" s="2"/>
    </row>
    <row r="38" spans="2:12" ht="26.25" x14ac:dyDescent="0.25">
      <c r="B38" s="170">
        <v>2020</v>
      </c>
      <c r="C38" s="176">
        <v>-2.9000000000000057</v>
      </c>
      <c r="D38" s="177">
        <v>-5.1000000000000085</v>
      </c>
      <c r="E38" s="176">
        <v>-0.36199999999999921</v>
      </c>
      <c r="F38" s="177">
        <v>-8.4999999999999964E-2</v>
      </c>
      <c r="G38" s="167">
        <v>0.35699999999999898</v>
      </c>
      <c r="H38" s="119">
        <v>2.2900000000000027</v>
      </c>
      <c r="L38" s="2"/>
    </row>
    <row r="39" spans="2:12" ht="26.25" x14ac:dyDescent="0.25">
      <c r="B39" s="170">
        <v>2021</v>
      </c>
      <c r="C39" s="176">
        <v>6.7999999999999972</v>
      </c>
      <c r="D39" s="177">
        <v>4.8</v>
      </c>
      <c r="E39" s="176">
        <v>2.4159999999999995</v>
      </c>
      <c r="F39" s="177">
        <v>0.56400000000000006</v>
      </c>
      <c r="G39" s="167">
        <v>-3.3999999999998899E-2</v>
      </c>
      <c r="H39" s="119">
        <v>-0.94600000000000328</v>
      </c>
      <c r="L39" s="2"/>
    </row>
    <row r="40" spans="2:12" ht="26.25" x14ac:dyDescent="0.25">
      <c r="B40" s="170">
        <v>2022</v>
      </c>
      <c r="C40" s="176">
        <v>1.2999999999999972</v>
      </c>
      <c r="D40" s="177">
        <v>2.8</v>
      </c>
      <c r="E40" s="176">
        <v>9.4999999999999751E-2</v>
      </c>
      <c r="F40" s="177">
        <v>2.6999999999999913E-2</v>
      </c>
      <c r="G40" s="167">
        <v>-0.97599999999999898</v>
      </c>
      <c r="H40" s="119">
        <v>-0.64600000000000346</v>
      </c>
      <c r="L40" s="2"/>
    </row>
    <row r="41" spans="2:12" ht="26.25" x14ac:dyDescent="0.25">
      <c r="B41" s="170">
        <v>2023</v>
      </c>
      <c r="C41" s="176">
        <v>1.4000000000000057</v>
      </c>
      <c r="D41" s="177">
        <v>2.512999999999991</v>
      </c>
      <c r="E41" s="176">
        <v>9.8000000000000753E-2</v>
      </c>
      <c r="F41" s="177">
        <v>-0.10400000000000009</v>
      </c>
      <c r="G41" s="167">
        <v>-1.077</v>
      </c>
      <c r="H41" s="119">
        <v>-2.9999999999986038E-2</v>
      </c>
      <c r="L41" s="2"/>
    </row>
    <row r="42" spans="2:12" ht="27" thickBot="1" x14ac:dyDescent="0.3">
      <c r="B42" s="171" t="s">
        <v>60</v>
      </c>
      <c r="C42" s="178">
        <v>8.2600000000000051</v>
      </c>
      <c r="D42" s="179">
        <v>6.585000000000008</v>
      </c>
      <c r="E42" s="178">
        <v>2.7199999999999998</v>
      </c>
      <c r="F42" s="179">
        <v>0.47100000000000009</v>
      </c>
      <c r="G42" s="168">
        <v>-1.7170000000000001</v>
      </c>
      <c r="H42" s="120">
        <v>0.20099999999999874</v>
      </c>
      <c r="L42" s="2"/>
    </row>
    <row r="43" spans="2:12" x14ac:dyDescent="0.25">
      <c r="L43" s="2"/>
    </row>
    <row r="44" spans="2:12" x14ac:dyDescent="0.25">
      <c r="L44" s="2"/>
    </row>
    <row r="45" spans="2:12" x14ac:dyDescent="0.25">
      <c r="L45" s="2"/>
    </row>
    <row r="46" spans="2:12" x14ac:dyDescent="0.25">
      <c r="L46" s="2"/>
    </row>
    <row r="47" spans="2:12" x14ac:dyDescent="0.25">
      <c r="L47" s="2"/>
    </row>
    <row r="48" spans="2:12" x14ac:dyDescent="0.25">
      <c r="L48" s="2"/>
    </row>
    <row r="49" spans="12:12" x14ac:dyDescent="0.25">
      <c r="L49" s="2"/>
    </row>
    <row r="50" spans="12:12" x14ac:dyDescent="0.25">
      <c r="L50" s="2"/>
    </row>
    <row r="51" spans="12:12" x14ac:dyDescent="0.25">
      <c r="L51" s="2"/>
    </row>
    <row r="52" spans="12:12" x14ac:dyDescent="0.25">
      <c r="L52" s="2"/>
    </row>
    <row r="53" spans="12:12" x14ac:dyDescent="0.25">
      <c r="L53" s="2"/>
    </row>
    <row r="54" spans="12:12" x14ac:dyDescent="0.25">
      <c r="L54" s="2"/>
    </row>
    <row r="55" spans="12:12" x14ac:dyDescent="0.25">
      <c r="L55" s="2"/>
    </row>
  </sheetData>
  <mergeCells count="3">
    <mergeCell ref="B29:J29"/>
    <mergeCell ref="B28:J28"/>
    <mergeCell ref="B27:J2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8"/>
  <sheetViews>
    <sheetView zoomScale="70" zoomScaleNormal="70" workbookViewId="0">
      <selection activeCell="B24" sqref="B24"/>
    </sheetView>
  </sheetViews>
  <sheetFormatPr baseColWidth="10" defaultColWidth="11.42578125" defaultRowHeight="15" x14ac:dyDescent="0.25"/>
  <cols>
    <col min="1" max="1" width="5.7109375" style="8" customWidth="1"/>
    <col min="2" max="2" width="68" style="8" customWidth="1"/>
    <col min="3" max="3" width="19.85546875" style="8" customWidth="1"/>
    <col min="4" max="4" width="23" style="8" bestFit="1" customWidth="1"/>
    <col min="5" max="5" width="30.140625" style="8" customWidth="1"/>
    <col min="6" max="6" width="25.42578125" style="8" customWidth="1"/>
    <col min="7" max="7" width="44.7109375" style="8" customWidth="1"/>
    <col min="8" max="8" width="11.28515625" style="8" customWidth="1"/>
    <col min="9" max="9" width="10.42578125" style="8" customWidth="1"/>
    <col min="10" max="10" width="25.140625" style="8" customWidth="1"/>
    <col min="11" max="11" width="11.42578125" style="8"/>
    <col min="12" max="12" width="15.85546875" style="8" bestFit="1" customWidth="1"/>
    <col min="13" max="14" width="11.42578125" style="8"/>
    <col min="15" max="15" width="13.85546875" style="8" bestFit="1" customWidth="1"/>
    <col min="16" max="18" width="11.42578125" style="8"/>
    <col min="19" max="19" width="11.42578125" style="8" customWidth="1"/>
    <col min="20" max="21" width="11.42578125" style="8"/>
    <col min="22" max="26" width="13.85546875" style="8" bestFit="1" customWidth="1"/>
    <col min="27" max="27" width="11.42578125" style="8"/>
    <col min="28" max="28" width="13.85546875" style="8" bestFit="1" customWidth="1"/>
    <col min="29" max="16384" width="11.42578125" style="8"/>
  </cols>
  <sheetData>
    <row r="2" spans="2:11" ht="26.25" x14ac:dyDescent="0.4">
      <c r="B2" s="1" t="s">
        <v>65</v>
      </c>
      <c r="C2" s="1"/>
    </row>
    <row r="3" spans="2:11" ht="15.75" thickBot="1" x14ac:dyDescent="0.3"/>
    <row r="4" spans="2:11" ht="79.5" thickBot="1" x14ac:dyDescent="0.3">
      <c r="B4" s="99" t="s">
        <v>32</v>
      </c>
      <c r="C4" s="99" t="s">
        <v>45</v>
      </c>
      <c r="D4" s="99" t="s">
        <v>33</v>
      </c>
      <c r="E4" s="99" t="s">
        <v>54</v>
      </c>
      <c r="F4" s="99" t="s">
        <v>70</v>
      </c>
      <c r="G4" s="28"/>
    </row>
    <row r="5" spans="2:11" ht="31.5" x14ac:dyDescent="0.5">
      <c r="B5" s="100" t="s">
        <v>0</v>
      </c>
      <c r="C5" s="101">
        <v>932138122154</v>
      </c>
      <c r="D5" s="102">
        <v>60.504220300480974</v>
      </c>
      <c r="E5" s="102">
        <v>2.640755202675904</v>
      </c>
      <c r="F5" s="102">
        <v>1.6334257276224273</v>
      </c>
      <c r="G5" s="94"/>
      <c r="H5" s="96"/>
      <c r="I5" s="96"/>
    </row>
    <row r="6" spans="2:11" ht="31.5" x14ac:dyDescent="0.5">
      <c r="B6" s="100" t="s">
        <v>1</v>
      </c>
      <c r="C6" s="101">
        <v>400404525334</v>
      </c>
      <c r="D6" s="102">
        <v>25.989886084838627</v>
      </c>
      <c r="E6" s="102">
        <v>6.3161318432669367</v>
      </c>
      <c r="F6" s="102">
        <v>1.6201745787090647</v>
      </c>
      <c r="G6" s="94"/>
      <c r="H6" s="96"/>
    </row>
    <row r="7" spans="2:11" ht="31.5" x14ac:dyDescent="0.5">
      <c r="B7" s="100" t="s">
        <v>20</v>
      </c>
      <c r="C7" s="101">
        <v>70087793785</v>
      </c>
      <c r="D7" s="102">
        <v>4.549333639249789</v>
      </c>
      <c r="E7" s="102">
        <v>32.082806831336733</v>
      </c>
      <c r="F7" s="102">
        <v>1.1595227478512322</v>
      </c>
      <c r="G7" s="94"/>
      <c r="H7" s="96"/>
    </row>
    <row r="8" spans="2:11" ht="31.5" x14ac:dyDescent="0.5">
      <c r="B8" s="100" t="s">
        <v>2</v>
      </c>
      <c r="C8" s="101">
        <v>52743920415</v>
      </c>
      <c r="D8" s="102">
        <v>3.4235589173478389</v>
      </c>
      <c r="E8" s="102">
        <v>23.451166872138572</v>
      </c>
      <c r="F8" s="102">
        <v>0.68242115539879988</v>
      </c>
      <c r="G8" s="94"/>
      <c r="H8" s="96"/>
    </row>
    <row r="9" spans="2:11" ht="21" customHeight="1" x14ac:dyDescent="0.5">
      <c r="B9" s="103" t="s">
        <v>48</v>
      </c>
      <c r="C9" s="104">
        <v>4274245825</v>
      </c>
      <c r="D9" s="105">
        <v>0.2774373291552662</v>
      </c>
      <c r="E9" s="102">
        <v>6.9538463861044786</v>
      </c>
      <c r="F9" s="102">
        <v>1.8927750284801943E-2</v>
      </c>
      <c r="G9" s="94"/>
      <c r="H9" s="96"/>
    </row>
    <row r="10" spans="2:11" ht="31.5" x14ac:dyDescent="0.5">
      <c r="B10" s="100" t="s">
        <v>3</v>
      </c>
      <c r="C10" s="101">
        <v>28063491844</v>
      </c>
      <c r="D10" s="102">
        <v>1.8215752071232254</v>
      </c>
      <c r="E10" s="102">
        <v>-14.385357939437505</v>
      </c>
      <c r="F10" s="102">
        <v>-0.32116273792351996</v>
      </c>
      <c r="G10" s="94"/>
      <c r="H10" s="96"/>
    </row>
    <row r="11" spans="2:11" ht="31.5" x14ac:dyDescent="0.5">
      <c r="B11" s="100" t="s">
        <v>24</v>
      </c>
      <c r="C11" s="101">
        <v>26323562995</v>
      </c>
      <c r="D11" s="102">
        <v>1.7086380405327295</v>
      </c>
      <c r="E11" s="102">
        <v>2.8588717473928549</v>
      </c>
      <c r="F11" s="102">
        <v>4.9832010047040826E-2</v>
      </c>
      <c r="G11" s="94"/>
      <c r="H11" s="96"/>
    </row>
    <row r="12" spans="2:11" ht="21" customHeight="1" x14ac:dyDescent="0.5">
      <c r="B12" s="103" t="s">
        <v>49</v>
      </c>
      <c r="C12" s="104">
        <v>11528043157</v>
      </c>
      <c r="D12" s="105">
        <v>0.74827458101680977</v>
      </c>
      <c r="E12" s="102">
        <v>3.1955584577345819</v>
      </c>
      <c r="F12" s="102">
        <v>2.4313762563398567E-2</v>
      </c>
      <c r="G12" s="94"/>
      <c r="H12" s="96"/>
    </row>
    <row r="13" spans="2:11" ht="31.5" x14ac:dyDescent="0.5">
      <c r="B13" s="100" t="s">
        <v>21</v>
      </c>
      <c r="C13" s="101">
        <v>24671688049</v>
      </c>
      <c r="D13" s="102">
        <v>1.6014163710545264</v>
      </c>
      <c r="E13" s="102">
        <v>16.37308181202275</v>
      </c>
      <c r="F13" s="102">
        <v>0.23642183186722035</v>
      </c>
      <c r="G13" s="94"/>
      <c r="H13" s="96"/>
    </row>
    <row r="14" spans="2:11" ht="32.25" thickBot="1" x14ac:dyDescent="0.55000000000000004">
      <c r="B14" s="100" t="s">
        <v>4</v>
      </c>
      <c r="C14" s="101">
        <v>6183554619</v>
      </c>
      <c r="D14" s="102">
        <v>0.40136879075762322</v>
      </c>
      <c r="E14" s="102">
        <v>-23.481986535131927</v>
      </c>
      <c r="F14" s="102">
        <v>-0.12924690913459855</v>
      </c>
      <c r="G14" s="94"/>
      <c r="H14" s="96"/>
    </row>
    <row r="15" spans="2:11" ht="32.25" thickBot="1" x14ac:dyDescent="0.55000000000000004">
      <c r="B15" s="99" t="s">
        <v>5</v>
      </c>
      <c r="C15" s="106">
        <v>1540616700000</v>
      </c>
      <c r="D15" s="107">
        <v>100</v>
      </c>
      <c r="E15" s="108">
        <v>4.9313880393681231</v>
      </c>
      <c r="F15" s="108">
        <v>4.9000000000000004</v>
      </c>
      <c r="G15" s="94"/>
      <c r="H15" s="96"/>
      <c r="K15" s="95"/>
    </row>
    <row r="17" spans="2:13" ht="25.5" customHeight="1" x14ac:dyDescent="0.35">
      <c r="B17" s="7" t="s">
        <v>67</v>
      </c>
      <c r="C17" s="7"/>
      <c r="I17" s="97"/>
    </row>
    <row r="18" spans="2:13" ht="25.5" customHeight="1" x14ac:dyDescent="0.25">
      <c r="B18" s="194" t="s">
        <v>96</v>
      </c>
      <c r="C18" s="194"/>
      <c r="D18" s="194"/>
      <c r="E18" s="194"/>
      <c r="F18" s="194"/>
      <c r="G18" s="194"/>
      <c r="H18" s="194"/>
      <c r="I18" s="194"/>
      <c r="J18" s="194"/>
      <c r="K18" s="194"/>
      <c r="L18" s="194"/>
      <c r="M18" s="194"/>
    </row>
    <row r="19" spans="2:13" ht="24" customHeight="1" x14ac:dyDescent="0.35">
      <c r="B19" s="7" t="s">
        <v>94</v>
      </c>
      <c r="C19" s="7"/>
    </row>
    <row r="28" spans="2:13" ht="18.75" x14ac:dyDescent="0.3">
      <c r="B28" s="20"/>
    </row>
  </sheetData>
  <mergeCells count="1">
    <mergeCell ref="B18:M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82"/>
  <sheetViews>
    <sheetView showGridLines="0" zoomScale="40" zoomScaleNormal="40" workbookViewId="0">
      <selection activeCell="N8" sqref="N8"/>
    </sheetView>
  </sheetViews>
  <sheetFormatPr baseColWidth="10" defaultRowHeight="15" x14ac:dyDescent="0.25"/>
  <cols>
    <col min="1" max="1" width="5.28515625" customWidth="1"/>
    <col min="2" max="2" width="44.7109375" customWidth="1"/>
    <col min="3" max="3" width="1" customWidth="1"/>
    <col min="4" max="4" width="38" customWidth="1"/>
    <col min="5" max="5" width="32.85546875" customWidth="1"/>
    <col min="6" max="6" width="1.140625" customWidth="1"/>
    <col min="7" max="7" width="34.7109375" customWidth="1"/>
    <col min="8" max="8" width="34.5703125" customWidth="1"/>
    <col min="9" max="9" width="1" customWidth="1"/>
    <col min="10" max="10" width="38" customWidth="1"/>
    <col min="11" max="11" width="35.42578125" customWidth="1"/>
    <col min="12" max="12" width="2.28515625" customWidth="1"/>
    <col min="13" max="13" width="35.28515625" bestFit="1" customWidth="1"/>
    <col min="14" max="14" width="24.7109375" bestFit="1" customWidth="1"/>
    <col min="15" max="15" width="13.85546875" customWidth="1"/>
    <col min="16" max="16" width="37.140625" customWidth="1"/>
    <col min="17" max="18" width="13.7109375" customWidth="1"/>
    <col min="19" max="19" width="23.28515625" customWidth="1"/>
    <col min="20" max="20" width="26.5703125" customWidth="1"/>
    <col min="21" max="21" width="9.7109375" bestFit="1" customWidth="1"/>
    <col min="22" max="22" width="67.7109375" bestFit="1" customWidth="1"/>
    <col min="23" max="24" width="41.140625" bestFit="1" customWidth="1"/>
  </cols>
  <sheetData>
    <row r="1" spans="2:20" ht="31.5" customHeight="1" x14ac:dyDescent="0.45">
      <c r="B1" s="11" t="s">
        <v>110</v>
      </c>
      <c r="C1" s="11"/>
    </row>
    <row r="2" spans="2:20" ht="15.75" customHeight="1" thickBot="1" x14ac:dyDescent="0.5">
      <c r="B2" s="11"/>
      <c r="C2" s="11"/>
    </row>
    <row r="3" spans="2:20" ht="92.25" customHeight="1" thickBot="1" x14ac:dyDescent="0.75">
      <c r="B3" s="8"/>
      <c r="C3" s="8"/>
      <c r="D3" s="196" t="s">
        <v>44</v>
      </c>
      <c r="E3" s="197"/>
      <c r="F3" s="40"/>
      <c r="G3" s="196" t="s">
        <v>47</v>
      </c>
      <c r="H3" s="197"/>
      <c r="I3" s="40"/>
      <c r="J3" s="196" t="s">
        <v>77</v>
      </c>
      <c r="K3" s="197"/>
      <c r="L3" s="15"/>
      <c r="M3" s="47"/>
      <c r="N3" s="123"/>
      <c r="Q3" s="27"/>
      <c r="R3" s="27"/>
      <c r="S3" s="27"/>
      <c r="T3" s="27"/>
    </row>
    <row r="4" spans="2:20" ht="90.75" customHeight="1" thickBot="1" x14ac:dyDescent="0.3">
      <c r="B4" s="29" t="s">
        <v>31</v>
      </c>
      <c r="C4" s="15"/>
      <c r="D4" s="29" t="s">
        <v>50</v>
      </c>
      <c r="E4" s="152" t="s">
        <v>51</v>
      </c>
      <c r="F4" s="15"/>
      <c r="G4" s="29" t="s">
        <v>50</v>
      </c>
      <c r="H4" s="152" t="s">
        <v>51</v>
      </c>
      <c r="I4" s="15"/>
      <c r="J4" s="151" t="s">
        <v>50</v>
      </c>
      <c r="K4" s="29" t="s">
        <v>51</v>
      </c>
      <c r="L4" s="16"/>
      <c r="M4" s="48"/>
      <c r="N4" s="123"/>
    </row>
    <row r="5" spans="2:20" ht="30" x14ac:dyDescent="0.25">
      <c r="B5" s="31" t="s">
        <v>34</v>
      </c>
      <c r="C5" s="52"/>
      <c r="D5" s="42" t="str">
        <f>"n.s. (**)"</f>
        <v>n.s. (**)</v>
      </c>
      <c r="E5" s="32" t="str">
        <f>"n.s. (**)"</f>
        <v>n.s. (**)</v>
      </c>
      <c r="F5" s="43"/>
      <c r="G5" s="42">
        <v>14.0676066</v>
      </c>
      <c r="H5" s="32">
        <v>1.9270380120405939</v>
      </c>
      <c r="I5" s="43"/>
      <c r="J5" s="46">
        <v>4</v>
      </c>
      <c r="K5" s="34">
        <v>31.254497847161765</v>
      </c>
      <c r="L5" s="17"/>
      <c r="M5" s="18"/>
      <c r="N5" s="123"/>
    </row>
    <row r="6" spans="2:20" ht="30" x14ac:dyDescent="0.25">
      <c r="B6" s="31" t="s">
        <v>35</v>
      </c>
      <c r="C6" s="52"/>
      <c r="D6" s="41">
        <v>5093.2673089999998</v>
      </c>
      <c r="E6" s="32">
        <v>3.3882070141311393</v>
      </c>
      <c r="F6" s="43"/>
      <c r="G6" s="41">
        <v>14.381819119999999</v>
      </c>
      <c r="H6" s="32">
        <v>2.9692286522674749</v>
      </c>
      <c r="I6" s="43"/>
      <c r="J6" s="46">
        <v>6</v>
      </c>
      <c r="K6" s="34">
        <v>19.170241401118826</v>
      </c>
      <c r="L6" s="17"/>
      <c r="M6" s="18"/>
      <c r="N6" s="123"/>
    </row>
    <row r="7" spans="2:20" ht="30" x14ac:dyDescent="0.25">
      <c r="B7" s="31" t="s">
        <v>36</v>
      </c>
      <c r="C7" s="52"/>
      <c r="D7" s="41">
        <v>9548.2080879999994</v>
      </c>
      <c r="E7" s="32">
        <v>4.8539973351757304</v>
      </c>
      <c r="F7" s="43"/>
      <c r="G7" s="41">
        <v>6.4355156420000004</v>
      </c>
      <c r="H7" s="32">
        <v>2.0591256897271926</v>
      </c>
      <c r="I7" s="43"/>
      <c r="J7" s="46">
        <v>9</v>
      </c>
      <c r="K7" s="34">
        <v>14.790765244802074</v>
      </c>
      <c r="L7" s="17"/>
      <c r="M7" s="18"/>
      <c r="N7" s="123"/>
    </row>
    <row r="8" spans="2:20" ht="30" x14ac:dyDescent="0.25">
      <c r="B8" s="31" t="s">
        <v>37</v>
      </c>
      <c r="C8" s="52"/>
      <c r="D8" s="41">
        <v>12704.82424</v>
      </c>
      <c r="E8" s="32">
        <v>4.9345627645044576</v>
      </c>
      <c r="F8" s="43"/>
      <c r="G8" s="41">
        <v>5.2554229259999996</v>
      </c>
      <c r="H8" s="32">
        <v>20.92630576422836</v>
      </c>
      <c r="I8" s="43"/>
      <c r="J8" s="46">
        <v>11</v>
      </c>
      <c r="K8" s="34">
        <v>19.251955880728854</v>
      </c>
      <c r="L8" s="17"/>
      <c r="M8" s="18"/>
      <c r="N8" s="123"/>
    </row>
    <row r="9" spans="2:20" ht="30" x14ac:dyDescent="0.25">
      <c r="B9" s="31" t="s">
        <v>38</v>
      </c>
      <c r="C9" s="52"/>
      <c r="D9" s="41">
        <v>15523.31337</v>
      </c>
      <c r="E9" s="32">
        <v>4.6415024264774507</v>
      </c>
      <c r="F9" s="44"/>
      <c r="G9" s="41">
        <v>95.539324260000001</v>
      </c>
      <c r="H9" s="32">
        <v>54.944016550963816</v>
      </c>
      <c r="I9" s="44"/>
      <c r="J9" s="46">
        <v>15</v>
      </c>
      <c r="K9" s="34">
        <v>30.372581494174945</v>
      </c>
      <c r="L9" s="17"/>
      <c r="M9" s="18"/>
      <c r="N9" s="123"/>
    </row>
    <row r="10" spans="2:20" ht="30" x14ac:dyDescent="0.25">
      <c r="B10" s="31" t="s">
        <v>39</v>
      </c>
      <c r="C10" s="52"/>
      <c r="D10" s="41">
        <v>18224.064340000001</v>
      </c>
      <c r="E10" s="32">
        <v>4.3911383889864819</v>
      </c>
      <c r="F10" s="43"/>
      <c r="G10" s="41">
        <v>485.67251520000002</v>
      </c>
      <c r="H10" s="32">
        <v>26.473716878783282</v>
      </c>
      <c r="I10" s="43"/>
      <c r="J10" s="46">
        <v>18</v>
      </c>
      <c r="K10" s="34">
        <v>27.69046107290718</v>
      </c>
      <c r="L10" s="17"/>
      <c r="M10" s="18"/>
      <c r="N10" s="123"/>
    </row>
    <row r="11" spans="2:20" ht="30" customHeight="1" x14ac:dyDescent="0.25">
      <c r="B11" s="31" t="s">
        <v>64</v>
      </c>
      <c r="C11" s="52"/>
      <c r="D11" s="41">
        <v>21127.634119999999</v>
      </c>
      <c r="E11" s="32">
        <v>4.3375772413181135</v>
      </c>
      <c r="F11" s="43"/>
      <c r="G11" s="41">
        <v>1103.330432</v>
      </c>
      <c r="H11" s="32">
        <v>14.526243839079589</v>
      </c>
      <c r="I11" s="43"/>
      <c r="J11" s="46">
        <v>25</v>
      </c>
      <c r="K11" s="34">
        <v>27.801940832784979</v>
      </c>
      <c r="L11" s="17"/>
      <c r="M11" s="18"/>
      <c r="N11" s="123"/>
    </row>
    <row r="12" spans="2:20" ht="30" x14ac:dyDescent="0.25">
      <c r="B12" s="31" t="s">
        <v>40</v>
      </c>
      <c r="C12" s="52"/>
      <c r="D12" s="41">
        <v>24861.985639999999</v>
      </c>
      <c r="E12" s="32">
        <v>4.3044605885391052</v>
      </c>
      <c r="F12" s="43"/>
      <c r="G12" s="41">
        <v>2008.2830980000001</v>
      </c>
      <c r="H12" s="32">
        <v>11.343207486719752</v>
      </c>
      <c r="I12" s="43"/>
      <c r="J12" s="46">
        <v>36</v>
      </c>
      <c r="K12" s="34">
        <v>33.437663463914681</v>
      </c>
      <c r="L12" s="17"/>
      <c r="M12" s="18"/>
      <c r="N12" s="123"/>
    </row>
    <row r="13" spans="2:20" ht="30" x14ac:dyDescent="0.25">
      <c r="B13" s="31" t="s">
        <v>41</v>
      </c>
      <c r="C13" s="52"/>
      <c r="D13" s="41">
        <v>31043.19441</v>
      </c>
      <c r="E13" s="32">
        <v>4.2622068488908482</v>
      </c>
      <c r="F13" s="43"/>
      <c r="G13" s="41">
        <v>3895.528014</v>
      </c>
      <c r="H13" s="32">
        <v>8.4297085795719706</v>
      </c>
      <c r="I13" s="43"/>
      <c r="J13" s="46">
        <v>68</v>
      </c>
      <c r="K13" s="34">
        <v>31.771597157839572</v>
      </c>
      <c r="L13" s="17"/>
      <c r="M13" s="18"/>
      <c r="N13" s="123"/>
    </row>
    <row r="14" spans="2:20" ht="30" x14ac:dyDescent="0.25">
      <c r="B14" s="31" t="s">
        <v>42</v>
      </c>
      <c r="C14" s="52"/>
      <c r="D14" s="41">
        <v>65532.426599999999</v>
      </c>
      <c r="E14" s="32">
        <v>6.9072246187676933</v>
      </c>
      <c r="F14" s="43"/>
      <c r="G14" s="41">
        <v>16136.92244</v>
      </c>
      <c r="H14" s="32">
        <v>3.9009687077457889</v>
      </c>
      <c r="I14" s="43"/>
      <c r="J14" s="46" t="s">
        <v>80</v>
      </c>
      <c r="K14" s="34" t="s">
        <v>78</v>
      </c>
      <c r="L14" s="17"/>
      <c r="M14" s="18"/>
      <c r="N14" s="123"/>
    </row>
    <row r="15" spans="2:20" ht="31.5" customHeight="1" x14ac:dyDescent="0.25">
      <c r="B15" s="130" t="s">
        <v>75</v>
      </c>
      <c r="C15" s="52"/>
      <c r="D15" s="131">
        <v>213672.06039999999</v>
      </c>
      <c r="E15" s="132">
        <v>12.893099232361592</v>
      </c>
      <c r="F15" s="133"/>
      <c r="G15" s="131">
        <v>57712.972600000001</v>
      </c>
      <c r="H15" s="132">
        <v>3.9009687077457889</v>
      </c>
      <c r="I15" s="133"/>
      <c r="J15" s="134" t="s">
        <v>82</v>
      </c>
      <c r="K15" s="135" t="s">
        <v>78</v>
      </c>
      <c r="L15" s="17"/>
      <c r="M15" s="18"/>
      <c r="N15" s="123"/>
    </row>
    <row r="16" spans="2:20" ht="30.75" customHeight="1" thickBot="1" x14ac:dyDescent="0.3">
      <c r="B16" s="129" t="s">
        <v>76</v>
      </c>
      <c r="C16" s="15"/>
      <c r="D16" s="136">
        <v>916590.47860000003</v>
      </c>
      <c r="E16" s="137">
        <v>21.825489654800712</v>
      </c>
      <c r="F16" s="138"/>
      <c r="G16" s="136">
        <v>163412.97210000001</v>
      </c>
      <c r="H16" s="137">
        <v>0.31110541992747098</v>
      </c>
      <c r="I16" s="138"/>
      <c r="J16" s="139" t="s">
        <v>81</v>
      </c>
      <c r="K16" s="140" t="s">
        <v>79</v>
      </c>
      <c r="L16" s="19"/>
      <c r="M16" s="18"/>
      <c r="N16" s="123"/>
    </row>
    <row r="17" spans="2:24" ht="6" customHeight="1" thickBot="1" x14ac:dyDescent="0.45">
      <c r="B17" s="113"/>
      <c r="C17" s="15"/>
      <c r="D17" s="114"/>
      <c r="E17" s="23"/>
      <c r="F17" s="45"/>
      <c r="G17" s="115"/>
      <c r="H17" s="23"/>
      <c r="I17" s="19"/>
      <c r="J17" s="114"/>
      <c r="K17" s="23"/>
      <c r="L17" s="18"/>
      <c r="M17" s="22"/>
      <c r="N17" s="123"/>
    </row>
    <row r="18" spans="2:24" ht="41.25" customHeight="1" thickBot="1" x14ac:dyDescent="0.45">
      <c r="B18" s="113"/>
      <c r="C18" s="15"/>
      <c r="D18" s="29" t="s">
        <v>45</v>
      </c>
      <c r="E18" s="152" t="s">
        <v>51</v>
      </c>
      <c r="F18" s="15"/>
      <c r="G18" s="29" t="s">
        <v>45</v>
      </c>
      <c r="H18" s="152" t="s">
        <v>51</v>
      </c>
      <c r="I18" s="16"/>
      <c r="J18" s="29" t="s">
        <v>45</v>
      </c>
      <c r="K18" s="152" t="s">
        <v>51</v>
      </c>
      <c r="L18" s="18"/>
      <c r="M18" s="22"/>
      <c r="N18" s="123"/>
    </row>
    <row r="19" spans="2:24" ht="35.25" customHeight="1" thickBot="1" x14ac:dyDescent="0.45">
      <c r="B19" s="118" t="s">
        <v>5</v>
      </c>
      <c r="C19" s="15"/>
      <c r="D19" s="125">
        <v>846911065936</v>
      </c>
      <c r="E19" s="116">
        <v>6.0011990058251197</v>
      </c>
      <c r="F19" s="45"/>
      <c r="G19" s="126">
        <v>98843486993</v>
      </c>
      <c r="H19" s="117">
        <v>7.1903061626285014</v>
      </c>
      <c r="I19" s="19"/>
      <c r="J19" s="125" t="s">
        <v>84</v>
      </c>
      <c r="K19" s="116" t="s">
        <v>83</v>
      </c>
      <c r="L19" s="18"/>
      <c r="M19" s="22"/>
      <c r="N19" s="123"/>
    </row>
    <row r="20" spans="2:24" s="123" customFormat="1" ht="5.25" customHeight="1" thickBot="1" x14ac:dyDescent="0.45">
      <c r="B20" s="113"/>
      <c r="C20" s="15"/>
      <c r="D20" s="153"/>
      <c r="E20" s="23"/>
      <c r="F20" s="45"/>
      <c r="G20" s="154"/>
      <c r="H20" s="23"/>
      <c r="I20" s="19"/>
      <c r="J20" s="153"/>
      <c r="K20" s="23"/>
      <c r="L20" s="18"/>
      <c r="M20" s="22"/>
    </row>
    <row r="21" spans="2:24" s="123" customFormat="1" ht="60.75" thickBot="1" x14ac:dyDescent="0.3">
      <c r="B21" s="113"/>
      <c r="C21" s="15"/>
      <c r="D21" s="29" t="s">
        <v>45</v>
      </c>
      <c r="E21" s="152" t="s">
        <v>85</v>
      </c>
      <c r="F21" s="15"/>
      <c r="G21" s="29" t="s">
        <v>45</v>
      </c>
      <c r="H21" s="152" t="s">
        <v>85</v>
      </c>
      <c r="I21" s="16"/>
      <c r="J21" s="29" t="s">
        <v>45</v>
      </c>
      <c r="K21" s="152" t="s">
        <v>85</v>
      </c>
      <c r="L21" s="18"/>
    </row>
    <row r="22" spans="2:24" s="123" customFormat="1" ht="35.25" customHeight="1" x14ac:dyDescent="0.25">
      <c r="B22" s="155" t="s">
        <v>42</v>
      </c>
      <c r="C22" s="52"/>
      <c r="D22" s="161">
        <v>272658212477</v>
      </c>
      <c r="E22" s="156">
        <v>2.5067755583771816</v>
      </c>
      <c r="F22" s="43"/>
      <c r="G22" s="161">
        <v>67140264075</v>
      </c>
      <c r="H22" s="32">
        <v>3.3975271244310821</v>
      </c>
      <c r="I22" s="43"/>
      <c r="J22" s="46" t="s">
        <v>86</v>
      </c>
      <c r="K22" s="34" t="s">
        <v>89</v>
      </c>
      <c r="L22" s="17"/>
    </row>
    <row r="23" spans="2:24" s="123" customFormat="1" ht="35.25" customHeight="1" x14ac:dyDescent="0.25">
      <c r="B23" s="157" t="s">
        <v>75</v>
      </c>
      <c r="C23" s="141"/>
      <c r="D23" s="162">
        <v>88901549007</v>
      </c>
      <c r="E23" s="158">
        <v>1.3639412149977299</v>
      </c>
      <c r="F23" s="133"/>
      <c r="G23" s="162">
        <v>24012370413</v>
      </c>
      <c r="H23" s="132">
        <v>0.67028895100068975</v>
      </c>
      <c r="I23" s="133"/>
      <c r="J23" s="134" t="s">
        <v>87</v>
      </c>
      <c r="K23" s="135" t="s">
        <v>90</v>
      </c>
      <c r="L23" s="145"/>
    </row>
    <row r="24" spans="2:24" s="123" customFormat="1" ht="35.25" customHeight="1" thickBot="1" x14ac:dyDescent="0.3">
      <c r="B24" s="159" t="s">
        <v>76</v>
      </c>
      <c r="C24" s="147"/>
      <c r="D24" s="163">
        <v>38136590273</v>
      </c>
      <c r="E24" s="160">
        <v>0.89225059716432187</v>
      </c>
      <c r="F24" s="138"/>
      <c r="G24" s="163">
        <v>6799125355.1000004</v>
      </c>
      <c r="H24" s="137">
        <v>9.2474612560603561E-2</v>
      </c>
      <c r="I24" s="138"/>
      <c r="J24" s="139" t="s">
        <v>88</v>
      </c>
      <c r="K24" s="140" t="s">
        <v>91</v>
      </c>
      <c r="L24" s="149"/>
    </row>
    <row r="25" spans="2:24" s="123" customFormat="1" ht="35.25" customHeight="1" x14ac:dyDescent="0.4">
      <c r="B25" s="113"/>
      <c r="C25" s="15"/>
      <c r="D25" s="153"/>
      <c r="E25" s="23"/>
      <c r="F25" s="45"/>
      <c r="G25" s="154"/>
      <c r="H25" s="23"/>
      <c r="I25" s="19"/>
      <c r="J25" s="153"/>
      <c r="K25" s="23"/>
      <c r="L25" s="18"/>
      <c r="M25" s="22"/>
    </row>
    <row r="26" spans="2:24" s="123" customFormat="1" ht="35.25" customHeight="1" x14ac:dyDescent="0.4">
      <c r="B26" s="113"/>
      <c r="C26" s="15"/>
      <c r="D26" s="153"/>
      <c r="E26" s="23"/>
      <c r="F26" s="45"/>
      <c r="G26" s="154"/>
      <c r="H26" s="23"/>
      <c r="I26" s="19"/>
      <c r="J26" s="153"/>
      <c r="K26" s="23"/>
      <c r="L26" s="18"/>
      <c r="M26" s="22"/>
    </row>
    <row r="27" spans="2:24" ht="7.5" customHeight="1" x14ac:dyDescent="0.7">
      <c r="D27">
        <v>16136.85945</v>
      </c>
      <c r="G27">
        <v>2288.2656889999998</v>
      </c>
      <c r="M27" s="24"/>
      <c r="R27" s="93" t="e">
        <f>#REF!-M27</f>
        <v>#REF!</v>
      </c>
      <c r="T27" s="27"/>
      <c r="U27" s="27"/>
      <c r="V27" s="27"/>
      <c r="W27" s="27"/>
      <c r="X27" s="27"/>
    </row>
    <row r="28" spans="2:24" ht="129" customHeight="1" x14ac:dyDescent="0.7">
      <c r="B28" s="195" t="s">
        <v>99</v>
      </c>
      <c r="C28" s="195"/>
      <c r="D28" s="195"/>
      <c r="E28" s="195"/>
      <c r="F28" s="195"/>
      <c r="G28" s="195"/>
      <c r="H28" s="195"/>
      <c r="I28" s="195"/>
      <c r="J28" s="195"/>
      <c r="K28" s="195"/>
      <c r="L28" s="195"/>
      <c r="T28" s="27"/>
      <c r="U28" s="27"/>
      <c r="V28" s="27"/>
      <c r="W28" s="27"/>
      <c r="X28" s="27"/>
    </row>
    <row r="29" spans="2:24" ht="59.25" customHeight="1" x14ac:dyDescent="0.7">
      <c r="B29" s="195" t="s">
        <v>98</v>
      </c>
      <c r="C29" s="195"/>
      <c r="D29" s="195"/>
      <c r="E29" s="195"/>
      <c r="F29" s="195"/>
      <c r="G29" s="195"/>
      <c r="H29" s="195"/>
      <c r="I29" s="98"/>
      <c r="J29" s="98"/>
      <c r="K29" s="98"/>
      <c r="L29" s="98"/>
      <c r="P29" s="124"/>
      <c r="T29" s="27"/>
      <c r="U29" s="27"/>
      <c r="V29" s="27"/>
      <c r="W29" s="27"/>
      <c r="X29" s="27"/>
    </row>
    <row r="30" spans="2:24" ht="46.5" x14ac:dyDescent="0.7">
      <c r="B30" s="195" t="s">
        <v>95</v>
      </c>
      <c r="C30" s="195"/>
      <c r="D30" s="195"/>
      <c r="E30" s="195"/>
      <c r="F30" s="195"/>
      <c r="G30" s="195"/>
      <c r="H30" s="195"/>
      <c r="I30" s="98"/>
      <c r="J30" s="98"/>
      <c r="K30" s="98"/>
      <c r="L30" s="98"/>
      <c r="T30" s="27"/>
      <c r="U30" s="27"/>
      <c r="V30" s="27"/>
      <c r="W30" s="27"/>
      <c r="X30" s="27"/>
    </row>
    <row r="31" spans="2:24" ht="21" customHeight="1" x14ac:dyDescent="0.7">
      <c r="B31" s="195" t="s">
        <v>94</v>
      </c>
      <c r="C31" s="195"/>
      <c r="D31" s="195"/>
      <c r="E31" s="195"/>
      <c r="F31" s="195"/>
      <c r="G31" s="195"/>
      <c r="H31" s="12"/>
      <c r="I31" s="12"/>
      <c r="J31" s="12"/>
      <c r="K31" s="12"/>
      <c r="L31" s="12"/>
      <c r="T31" s="27"/>
      <c r="U31" s="27"/>
      <c r="V31" s="27"/>
      <c r="W31" s="27"/>
      <c r="X31" s="27"/>
    </row>
    <row r="32" spans="2:24" ht="46.5" x14ac:dyDescent="0.7">
      <c r="T32" s="27"/>
      <c r="U32" s="27"/>
      <c r="V32" s="27"/>
      <c r="W32" s="27"/>
      <c r="X32" s="27"/>
    </row>
    <row r="33" spans="20:24" ht="46.5" x14ac:dyDescent="0.7">
      <c r="T33" s="27"/>
      <c r="U33" s="27"/>
      <c r="V33" s="27"/>
      <c r="W33" s="27"/>
      <c r="X33" s="27"/>
    </row>
    <row r="34" spans="20:24" ht="46.5" x14ac:dyDescent="0.7">
      <c r="T34" s="27"/>
      <c r="U34" s="27"/>
      <c r="V34" s="27"/>
      <c r="W34" s="27"/>
      <c r="X34" s="27"/>
    </row>
    <row r="35" spans="20:24" ht="46.5" x14ac:dyDescent="0.7">
      <c r="T35" s="27"/>
      <c r="U35" s="27"/>
      <c r="V35" s="27"/>
      <c r="W35" s="27"/>
      <c r="X35" s="27"/>
    </row>
    <row r="36" spans="20:24" ht="46.5" x14ac:dyDescent="0.7">
      <c r="T36" s="27"/>
      <c r="U36" s="27"/>
      <c r="V36" s="27"/>
      <c r="W36" s="27"/>
      <c r="X36" s="27"/>
    </row>
    <row r="37" spans="20:24" ht="46.5" x14ac:dyDescent="0.7">
      <c r="T37" s="27"/>
      <c r="U37" s="27"/>
      <c r="V37" s="27"/>
      <c r="W37" s="27"/>
      <c r="X37" s="27"/>
    </row>
    <row r="38" spans="20:24" ht="46.5" x14ac:dyDescent="0.7">
      <c r="T38" s="27"/>
      <c r="U38" s="27"/>
      <c r="V38" s="27"/>
      <c r="W38" s="27"/>
      <c r="X38" s="27"/>
    </row>
    <row r="39" spans="20:24" ht="46.5" x14ac:dyDescent="0.7">
      <c r="T39" s="27"/>
      <c r="U39" s="27"/>
      <c r="V39" s="27"/>
      <c r="W39" s="27"/>
      <c r="X39" s="27"/>
    </row>
    <row r="40" spans="20:24" ht="46.5" x14ac:dyDescent="0.7">
      <c r="T40" s="27"/>
      <c r="U40" s="27"/>
      <c r="V40" s="27"/>
      <c r="W40" s="27"/>
      <c r="X40" s="27"/>
    </row>
    <row r="41" spans="20:24" ht="46.5" x14ac:dyDescent="0.7">
      <c r="T41" s="27"/>
      <c r="U41" s="27"/>
      <c r="V41" s="27"/>
      <c r="W41" s="27"/>
      <c r="X41" s="27"/>
    </row>
    <row r="42" spans="20:24" ht="46.5" x14ac:dyDescent="0.7">
      <c r="T42" s="27"/>
      <c r="U42" s="27"/>
      <c r="V42" s="27"/>
      <c r="W42" s="27"/>
      <c r="X42" s="27"/>
    </row>
    <row r="43" spans="20:24" ht="46.5" x14ac:dyDescent="0.7">
      <c r="T43" s="27"/>
      <c r="U43" s="27"/>
      <c r="V43" s="27"/>
      <c r="W43" s="27"/>
      <c r="X43" s="27"/>
    </row>
    <row r="44" spans="20:24" ht="46.5" x14ac:dyDescent="0.7">
      <c r="T44" s="27"/>
      <c r="U44" s="27"/>
      <c r="V44" s="27"/>
      <c r="W44" s="27"/>
      <c r="X44" s="27"/>
    </row>
    <row r="45" spans="20:24" ht="46.5" x14ac:dyDescent="0.7">
      <c r="T45" s="27"/>
      <c r="U45" s="27"/>
      <c r="V45" s="27"/>
      <c r="W45" s="27"/>
      <c r="X45" s="27"/>
    </row>
    <row r="46" spans="20:24" ht="46.5" x14ac:dyDescent="0.7">
      <c r="T46" s="27"/>
      <c r="U46" s="27"/>
      <c r="V46" s="27"/>
      <c r="W46" s="27"/>
      <c r="X46" s="27"/>
    </row>
    <row r="47" spans="20:24" ht="46.5" x14ac:dyDescent="0.7">
      <c r="T47" s="27"/>
      <c r="U47" s="27"/>
      <c r="V47" s="27"/>
      <c r="W47" s="27"/>
      <c r="X47" s="27"/>
    </row>
    <row r="48" spans="20:24" ht="46.5" x14ac:dyDescent="0.7">
      <c r="T48" s="27"/>
      <c r="U48" s="27"/>
      <c r="V48" s="27"/>
      <c r="W48" s="27"/>
      <c r="X48" s="27"/>
    </row>
    <row r="49" spans="20:24" ht="46.5" x14ac:dyDescent="0.7">
      <c r="T49" s="27"/>
      <c r="U49" s="27"/>
      <c r="V49" s="27"/>
      <c r="W49" s="27"/>
      <c r="X49" s="27"/>
    </row>
    <row r="50" spans="20:24" ht="46.5" x14ac:dyDescent="0.7">
      <c r="T50" s="27"/>
      <c r="U50" s="27"/>
      <c r="V50" s="27"/>
      <c r="W50" s="27"/>
      <c r="X50" s="27"/>
    </row>
    <row r="51" spans="20:24" ht="46.5" x14ac:dyDescent="0.7">
      <c r="T51" s="27"/>
      <c r="U51" s="27"/>
      <c r="V51" s="27"/>
      <c r="W51" s="27"/>
      <c r="X51" s="27"/>
    </row>
    <row r="52" spans="20:24" ht="46.5" x14ac:dyDescent="0.7">
      <c r="T52" s="27"/>
      <c r="U52" s="27"/>
      <c r="V52" s="27"/>
      <c r="W52" s="27"/>
      <c r="X52" s="27"/>
    </row>
    <row r="53" spans="20:24" ht="46.5" x14ac:dyDescent="0.7">
      <c r="T53" s="27"/>
      <c r="U53" s="27"/>
      <c r="V53" s="27"/>
      <c r="W53" s="27"/>
      <c r="X53" s="27"/>
    </row>
    <row r="54" spans="20:24" ht="46.5" x14ac:dyDescent="0.7">
      <c r="T54" s="27"/>
      <c r="U54" s="27"/>
      <c r="V54" s="27"/>
      <c r="W54" s="27"/>
      <c r="X54" s="27"/>
    </row>
    <row r="55" spans="20:24" ht="46.5" x14ac:dyDescent="0.7">
      <c r="T55" s="27"/>
      <c r="U55" s="27"/>
      <c r="V55" s="27"/>
      <c r="W55" s="27"/>
      <c r="X55" s="27"/>
    </row>
    <row r="56" spans="20:24" ht="46.5" x14ac:dyDescent="0.7">
      <c r="T56" s="27"/>
      <c r="U56" s="27"/>
      <c r="V56" s="27"/>
      <c r="W56" s="27"/>
      <c r="X56" s="27"/>
    </row>
    <row r="57" spans="20:24" ht="46.5" x14ac:dyDescent="0.7">
      <c r="T57" s="27"/>
      <c r="U57" s="27"/>
      <c r="V57" s="27"/>
      <c r="W57" s="27"/>
      <c r="X57" s="27"/>
    </row>
    <row r="58" spans="20:24" ht="46.5" x14ac:dyDescent="0.7">
      <c r="T58" s="27"/>
      <c r="U58" s="27"/>
      <c r="V58" s="27"/>
      <c r="W58" s="27"/>
      <c r="X58" s="27"/>
    </row>
    <row r="59" spans="20:24" ht="46.5" x14ac:dyDescent="0.7">
      <c r="T59" s="27"/>
      <c r="U59" s="27"/>
      <c r="V59" s="27"/>
      <c r="W59" s="27"/>
      <c r="X59" s="27"/>
    </row>
    <row r="60" spans="20:24" ht="46.5" x14ac:dyDescent="0.7">
      <c r="T60" s="27"/>
      <c r="U60" s="27"/>
      <c r="V60" s="27"/>
      <c r="W60" s="27"/>
      <c r="X60" s="27"/>
    </row>
    <row r="61" spans="20:24" ht="46.5" x14ac:dyDescent="0.7">
      <c r="T61" s="27"/>
      <c r="U61" s="27"/>
      <c r="V61" s="27"/>
      <c r="W61" s="27"/>
      <c r="X61" s="27"/>
    </row>
    <row r="62" spans="20:24" ht="46.5" x14ac:dyDescent="0.7">
      <c r="T62" s="27"/>
      <c r="U62" s="27"/>
      <c r="V62" s="27"/>
      <c r="W62" s="27"/>
      <c r="X62" s="27"/>
    </row>
    <row r="63" spans="20:24" ht="46.5" x14ac:dyDescent="0.7">
      <c r="T63" s="27"/>
      <c r="U63" s="27"/>
      <c r="V63" s="27"/>
      <c r="W63" s="27"/>
      <c r="X63" s="27"/>
    </row>
    <row r="64" spans="20:24" ht="46.5" x14ac:dyDescent="0.7">
      <c r="T64" s="27"/>
      <c r="U64" s="27"/>
      <c r="V64" s="27"/>
      <c r="W64" s="27"/>
      <c r="X64" s="27"/>
    </row>
    <row r="65" spans="20:24" ht="46.5" x14ac:dyDescent="0.7">
      <c r="T65" s="27"/>
      <c r="U65" s="27"/>
      <c r="V65" s="27"/>
      <c r="W65" s="27"/>
      <c r="X65" s="27"/>
    </row>
    <row r="66" spans="20:24" ht="46.5" x14ac:dyDescent="0.7">
      <c r="T66" s="27"/>
      <c r="U66" s="27"/>
      <c r="V66" s="27"/>
      <c r="W66" s="27"/>
      <c r="X66" s="27"/>
    </row>
    <row r="67" spans="20:24" ht="46.5" x14ac:dyDescent="0.7">
      <c r="T67" s="27"/>
      <c r="U67" s="27"/>
      <c r="V67" s="27"/>
      <c r="W67" s="27"/>
      <c r="X67" s="27"/>
    </row>
    <row r="68" spans="20:24" ht="46.5" x14ac:dyDescent="0.7">
      <c r="T68" s="27"/>
      <c r="U68" s="27"/>
      <c r="V68" s="27"/>
      <c r="W68" s="27"/>
      <c r="X68" s="27"/>
    </row>
    <row r="69" spans="20:24" ht="46.5" x14ac:dyDescent="0.7">
      <c r="T69" s="27"/>
      <c r="U69" s="27"/>
      <c r="V69" s="27"/>
      <c r="W69" s="27"/>
      <c r="X69" s="27"/>
    </row>
    <row r="70" spans="20:24" ht="46.5" x14ac:dyDescent="0.7">
      <c r="T70" s="27"/>
      <c r="U70" s="27"/>
      <c r="V70" s="27"/>
      <c r="W70" s="27"/>
      <c r="X70" s="27"/>
    </row>
    <row r="71" spans="20:24" ht="46.5" x14ac:dyDescent="0.7">
      <c r="T71" s="27"/>
      <c r="U71" s="27"/>
      <c r="V71" s="27"/>
      <c r="W71" s="27"/>
      <c r="X71" s="27"/>
    </row>
    <row r="72" spans="20:24" ht="46.5" x14ac:dyDescent="0.7">
      <c r="T72" s="27"/>
      <c r="U72" s="27"/>
      <c r="V72" s="27"/>
      <c r="W72" s="27"/>
      <c r="X72" s="27"/>
    </row>
    <row r="81" spans="22:24" x14ac:dyDescent="0.25">
      <c r="V81" t="s">
        <v>62</v>
      </c>
      <c r="W81" t="s">
        <v>62</v>
      </c>
      <c r="X81">
        <v>10563951955</v>
      </c>
    </row>
    <row r="82" spans="22:24" x14ac:dyDescent="0.25">
      <c r="V82" t="s">
        <v>63</v>
      </c>
      <c r="W82" t="s">
        <v>63</v>
      </c>
      <c r="X82">
        <v>6674871.7800000003</v>
      </c>
    </row>
  </sheetData>
  <mergeCells count="7">
    <mergeCell ref="B31:G31"/>
    <mergeCell ref="G3:H3"/>
    <mergeCell ref="J3:K3"/>
    <mergeCell ref="D3:E3"/>
    <mergeCell ref="B28:L28"/>
    <mergeCell ref="B29:H29"/>
    <mergeCell ref="B30:H3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4"/>
  <sheetViews>
    <sheetView showGridLines="0" zoomScale="50" zoomScaleNormal="50" workbookViewId="0">
      <selection activeCell="H36" sqref="H36"/>
    </sheetView>
  </sheetViews>
  <sheetFormatPr baseColWidth="10" defaultColWidth="11.42578125" defaultRowHeight="15" x14ac:dyDescent="0.25"/>
  <cols>
    <col min="1" max="1" width="7.28515625" style="8" customWidth="1"/>
    <col min="2" max="2" width="91.7109375" style="8" customWidth="1"/>
    <col min="3" max="3" width="1.140625" style="8" customWidth="1"/>
    <col min="4" max="4" width="33.28515625" style="8" customWidth="1"/>
    <col min="5" max="5" width="18.85546875" style="8" customWidth="1"/>
    <col min="6" max="6" width="1" style="8" customWidth="1"/>
    <col min="7" max="7" width="22.28515625" style="8" customWidth="1"/>
    <col min="8" max="8" width="18.85546875" style="8" customWidth="1"/>
    <col min="9" max="9" width="1.140625" style="8" customWidth="1"/>
    <col min="10" max="10" width="33.85546875" style="8" customWidth="1"/>
    <col min="11" max="11" width="19.7109375" style="8" customWidth="1"/>
    <col min="12" max="12" width="9.28515625" style="8" customWidth="1"/>
    <col min="13" max="13" width="24.85546875" style="8" bestFit="1" customWidth="1"/>
    <col min="14" max="14" width="13.42578125" style="8" bestFit="1" customWidth="1"/>
    <col min="15" max="15" width="18.7109375" style="8" bestFit="1" customWidth="1"/>
    <col min="16" max="17" width="17.5703125" style="8" customWidth="1"/>
    <col min="18" max="18" width="19.140625" style="8" customWidth="1"/>
    <col min="19" max="26" width="11.42578125" style="8"/>
    <col min="27" max="27" width="14.140625" style="8" bestFit="1" customWidth="1"/>
    <col min="28" max="30" width="11.42578125" style="8"/>
    <col min="31" max="31" width="21.42578125" style="8" customWidth="1"/>
    <col min="32" max="33" width="21" style="8" bestFit="1" customWidth="1"/>
    <col min="34" max="34" width="15.140625" style="8" customWidth="1"/>
    <col min="35" max="16384" width="11.42578125" style="8"/>
  </cols>
  <sheetData>
    <row r="2" spans="2:11" ht="30" x14ac:dyDescent="0.45">
      <c r="B2" s="11" t="s">
        <v>97</v>
      </c>
      <c r="C2" s="11"/>
    </row>
    <row r="3" spans="2:11" ht="15.75" thickBot="1" x14ac:dyDescent="0.3"/>
    <row r="4" spans="2:11" ht="90" x14ac:dyDescent="0.25">
      <c r="B4" s="35"/>
      <c r="C4" s="35"/>
      <c r="D4" s="30" t="s">
        <v>29</v>
      </c>
      <c r="E4" s="33" t="s">
        <v>58</v>
      </c>
      <c r="F4" s="15"/>
      <c r="G4" s="30" t="s">
        <v>28</v>
      </c>
      <c r="H4" s="33" t="s">
        <v>58</v>
      </c>
      <c r="I4" s="15"/>
      <c r="J4" s="30" t="s">
        <v>27</v>
      </c>
      <c r="K4" s="33" t="s">
        <v>58</v>
      </c>
    </row>
    <row r="5" spans="2:11" ht="30.75" thickBot="1" x14ac:dyDescent="0.3">
      <c r="B5" s="35"/>
      <c r="C5" s="35"/>
      <c r="D5" s="57" t="s">
        <v>25</v>
      </c>
      <c r="E5" s="50" t="s">
        <v>59</v>
      </c>
      <c r="F5" s="15"/>
      <c r="G5" s="58" t="s">
        <v>26</v>
      </c>
      <c r="H5" s="59" t="s">
        <v>59</v>
      </c>
      <c r="I5" s="15"/>
      <c r="J5" s="57" t="s">
        <v>66</v>
      </c>
      <c r="K5" s="50" t="s">
        <v>59</v>
      </c>
    </row>
    <row r="6" spans="2:11" ht="30.75" thickBot="1" x14ac:dyDescent="0.5">
      <c r="B6" s="53" t="s">
        <v>57</v>
      </c>
      <c r="C6" s="37"/>
      <c r="D6" s="60">
        <v>12829185.9</v>
      </c>
      <c r="E6" s="61">
        <v>3.7306504389184703</v>
      </c>
      <c r="F6" s="62"/>
      <c r="G6" s="63">
        <v>19525419691</v>
      </c>
      <c r="H6" s="64">
        <v>9.8050751291385296</v>
      </c>
      <c r="I6" s="62"/>
      <c r="J6" s="87">
        <v>1521.9531342982566</v>
      </c>
      <c r="K6" s="65">
        <v>5.8559593182123004</v>
      </c>
    </row>
    <row r="7" spans="2:11" ht="30.75" thickBot="1" x14ac:dyDescent="0.5">
      <c r="B7" s="54" t="s">
        <v>55</v>
      </c>
      <c r="C7" s="38"/>
      <c r="D7" s="66">
        <v>8627410.8800000008</v>
      </c>
      <c r="E7" s="67">
        <v>3.3951083391787762</v>
      </c>
      <c r="F7" s="62"/>
      <c r="G7" s="68">
        <v>9769885423</v>
      </c>
      <c r="H7" s="61">
        <v>7.9065295085387399</v>
      </c>
      <c r="I7" s="62"/>
      <c r="J7" s="87">
        <v>1132.4238011717368</v>
      </c>
      <c r="K7" s="65">
        <v>4.3632829848784027</v>
      </c>
    </row>
    <row r="8" spans="2:11" ht="30" x14ac:dyDescent="0.45">
      <c r="B8" s="56" t="s">
        <v>11</v>
      </c>
      <c r="C8" s="39"/>
      <c r="D8" s="69">
        <v>5145884.46</v>
      </c>
      <c r="E8" s="70">
        <v>5.6792789825153012</v>
      </c>
      <c r="F8" s="71"/>
      <c r="G8" s="72">
        <v>6515606064</v>
      </c>
      <c r="H8" s="73">
        <v>8.2345358047118502</v>
      </c>
      <c r="I8" s="71"/>
      <c r="J8" s="74">
        <v>1266.1780719421749</v>
      </c>
      <c r="K8" s="75">
        <v>2.4179355184845042</v>
      </c>
    </row>
    <row r="9" spans="2:11" ht="30" x14ac:dyDescent="0.45">
      <c r="B9" s="55" t="s">
        <v>12</v>
      </c>
      <c r="C9" s="39"/>
      <c r="D9" s="69">
        <v>1939768.02</v>
      </c>
      <c r="E9" s="76">
        <v>0.70141315515011016</v>
      </c>
      <c r="F9" s="71"/>
      <c r="G9" s="77">
        <v>1790995795</v>
      </c>
      <c r="H9" s="78">
        <v>2.801266528812163</v>
      </c>
      <c r="I9" s="71"/>
      <c r="J9" s="79">
        <v>923.30411499412185</v>
      </c>
      <c r="K9" s="80">
        <v>2.0852273149601253</v>
      </c>
    </row>
    <row r="10" spans="2:11" ht="30.75" thickBot="1" x14ac:dyDescent="0.5">
      <c r="B10" s="55" t="s">
        <v>13</v>
      </c>
      <c r="C10" s="39"/>
      <c r="D10" s="69">
        <v>1316951.23</v>
      </c>
      <c r="E10" s="76">
        <v>1.4701176002853922</v>
      </c>
      <c r="F10" s="71"/>
      <c r="G10" s="81">
        <v>154934737</v>
      </c>
      <c r="H10" s="82">
        <v>4.2611556513589166</v>
      </c>
      <c r="I10" s="71"/>
      <c r="J10" s="83">
        <v>117.64652590817657</v>
      </c>
      <c r="K10" s="84">
        <v>2.7506009819246113</v>
      </c>
    </row>
    <row r="11" spans="2:11" ht="30.75" thickBot="1" x14ac:dyDescent="0.5">
      <c r="B11" s="54" t="s">
        <v>56</v>
      </c>
      <c r="C11" s="38"/>
      <c r="D11" s="60">
        <v>7532859.8099999996</v>
      </c>
      <c r="E11" s="61">
        <v>5.1423392477290664</v>
      </c>
      <c r="F11" s="62"/>
      <c r="G11" s="85">
        <v>9753672745</v>
      </c>
      <c r="H11" s="86">
        <v>11.753240933962061</v>
      </c>
      <c r="I11" s="62"/>
      <c r="J11" s="87">
        <v>1294.8167085297184</v>
      </c>
      <c r="K11" s="65">
        <v>6.287573334902552</v>
      </c>
    </row>
    <row r="12" spans="2:11" ht="30" x14ac:dyDescent="0.45">
      <c r="B12" s="55" t="s">
        <v>14</v>
      </c>
      <c r="C12" s="39"/>
      <c r="D12" s="88">
        <v>3654054.09</v>
      </c>
      <c r="E12" s="76">
        <v>4.6572380120689205</v>
      </c>
      <c r="F12" s="71"/>
      <c r="G12" s="77">
        <v>1635834047</v>
      </c>
      <c r="H12" s="76">
        <v>8.1355789949289594</v>
      </c>
      <c r="I12" s="71"/>
      <c r="J12" s="79">
        <v>447.67647295554951</v>
      </c>
      <c r="K12" s="89">
        <v>3.3235551108839134</v>
      </c>
    </row>
    <row r="13" spans="2:11" ht="30" x14ac:dyDescent="0.45">
      <c r="B13" s="55" t="s">
        <v>15</v>
      </c>
      <c r="C13" s="36"/>
      <c r="D13" s="88">
        <v>52868.26</v>
      </c>
      <c r="E13" s="76">
        <v>-3.5039424691538201</v>
      </c>
      <c r="F13" s="71"/>
      <c r="G13" s="77">
        <v>755664319</v>
      </c>
      <c r="H13" s="76">
        <v>-3.7445758520047945</v>
      </c>
      <c r="I13" s="71"/>
      <c r="J13" s="79">
        <v>14293.345742795393</v>
      </c>
      <c r="K13" s="89">
        <v>-0.24937120645996957</v>
      </c>
    </row>
    <row r="14" spans="2:11" ht="30" x14ac:dyDescent="0.45">
      <c r="B14" s="55" t="s">
        <v>16</v>
      </c>
      <c r="C14" s="36"/>
      <c r="D14" s="88">
        <v>2570585.36</v>
      </c>
      <c r="E14" s="76">
        <v>2.2883237209509577</v>
      </c>
      <c r="F14" s="71"/>
      <c r="G14" s="77">
        <v>465253671</v>
      </c>
      <c r="H14" s="76">
        <v>2.3133939094950096</v>
      </c>
      <c r="I14" s="71"/>
      <c r="J14" s="79">
        <v>180.99133304019128</v>
      </c>
      <c r="K14" s="89">
        <v>2.4509335603584148E-2</v>
      </c>
    </row>
    <row r="15" spans="2:11" ht="30" x14ac:dyDescent="0.45">
      <c r="B15" s="55" t="s">
        <v>18</v>
      </c>
      <c r="C15" s="36"/>
      <c r="D15" s="88">
        <v>1991300.74</v>
      </c>
      <c r="E15" s="76">
        <v>4.4009955131653289</v>
      </c>
      <c r="F15" s="71"/>
      <c r="G15" s="77">
        <v>513601188</v>
      </c>
      <c r="H15" s="76">
        <v>6.2948898905765605</v>
      </c>
      <c r="I15" s="71"/>
      <c r="J15" s="79">
        <v>257.92246127523663</v>
      </c>
      <c r="K15" s="89">
        <v>1.814057776079725</v>
      </c>
    </row>
    <row r="16" spans="2:11" ht="30" x14ac:dyDescent="0.45">
      <c r="B16" s="55" t="s">
        <v>17</v>
      </c>
      <c r="C16" s="36"/>
      <c r="D16" s="88">
        <v>240930.67</v>
      </c>
      <c r="E16" s="76">
        <v>7.8129466463209951</v>
      </c>
      <c r="F16" s="71"/>
      <c r="G16" s="77">
        <v>306262896</v>
      </c>
      <c r="H16" s="76">
        <v>12.825510778998561</v>
      </c>
      <c r="I16" s="71"/>
      <c r="J16" s="79">
        <v>1271.1660827573342</v>
      </c>
      <c r="K16" s="89">
        <v>4.6493155864862912</v>
      </c>
    </row>
    <row r="17" spans="2:12" ht="30" x14ac:dyDescent="0.45">
      <c r="B17" s="55" t="s">
        <v>23</v>
      </c>
      <c r="C17" s="36"/>
      <c r="D17" s="88">
        <v>47526.91</v>
      </c>
      <c r="E17" s="76">
        <v>3.122092518659958</v>
      </c>
      <c r="F17" s="71"/>
      <c r="G17" s="77">
        <v>102073123</v>
      </c>
      <c r="H17" s="76">
        <v>1.5069537544609712</v>
      </c>
      <c r="I17" s="71"/>
      <c r="J17" s="79">
        <v>2147.9439266119994</v>
      </c>
      <c r="K17" s="89">
        <v>-1.5546530154610161</v>
      </c>
    </row>
    <row r="18" spans="2:12" ht="30" x14ac:dyDescent="0.45">
      <c r="B18" s="55" t="s">
        <v>72</v>
      </c>
      <c r="C18" s="36"/>
      <c r="D18" s="88">
        <v>440548.13</v>
      </c>
      <c r="E18" s="76">
        <v>-3.076542465656984</v>
      </c>
      <c r="F18" s="71"/>
      <c r="G18" s="77">
        <v>1728196705</v>
      </c>
      <c r="H18" s="76">
        <v>-1.9425536600993221</v>
      </c>
      <c r="I18" s="71"/>
      <c r="J18" s="79">
        <v>3922.8329149870638</v>
      </c>
      <c r="K18" s="89">
        <v>1.1699838557202247</v>
      </c>
    </row>
    <row r="19" spans="2:12" ht="30.75" thickBot="1" x14ac:dyDescent="0.5">
      <c r="B19" s="112" t="s">
        <v>73</v>
      </c>
      <c r="C19" s="36"/>
      <c r="D19" s="90">
        <v>490785</v>
      </c>
      <c r="E19" s="91">
        <v>31.317928602389912</v>
      </c>
      <c r="F19" s="71"/>
      <c r="G19" s="81">
        <v>3833210369</v>
      </c>
      <c r="H19" s="91">
        <v>36.021323193116615</v>
      </c>
      <c r="I19" s="71"/>
      <c r="J19" s="83">
        <v>7516.3875389993691</v>
      </c>
      <c r="K19" s="92">
        <v>-0.31707750592739892</v>
      </c>
    </row>
    <row r="20" spans="2:12" ht="41.25" customHeight="1" x14ac:dyDescent="0.25"/>
    <row r="21" spans="2:12" ht="111.75" customHeight="1" x14ac:dyDescent="0.25">
      <c r="B21" s="195" t="s">
        <v>102</v>
      </c>
      <c r="C21" s="195"/>
      <c r="D21" s="195"/>
      <c r="E21" s="195"/>
      <c r="F21" s="195"/>
      <c r="G21" s="195"/>
      <c r="H21" s="195"/>
      <c r="I21" s="195"/>
      <c r="J21" s="195"/>
      <c r="K21" s="195"/>
      <c r="L21" s="195"/>
    </row>
    <row r="22" spans="2:12" ht="21" x14ac:dyDescent="0.25">
      <c r="B22" s="194" t="s">
        <v>101</v>
      </c>
      <c r="C22" s="194"/>
      <c r="D22" s="194"/>
      <c r="E22" s="194"/>
      <c r="F22" s="194"/>
      <c r="G22" s="194"/>
      <c r="H22" s="194"/>
      <c r="I22" s="194"/>
      <c r="J22" s="194"/>
      <c r="K22" s="26"/>
    </row>
    <row r="23" spans="2:12" ht="21" x14ac:dyDescent="0.35">
      <c r="B23" s="193" t="s">
        <v>95</v>
      </c>
      <c r="C23" s="193"/>
      <c r="D23" s="193"/>
      <c r="E23" s="193"/>
      <c r="F23" s="193"/>
      <c r="G23" s="193"/>
      <c r="H23" s="193"/>
      <c r="I23" s="193"/>
      <c r="J23" s="193"/>
      <c r="K23" s="25"/>
    </row>
    <row r="24" spans="2:12" ht="21" x14ac:dyDescent="0.35">
      <c r="B24" s="193" t="s">
        <v>94</v>
      </c>
      <c r="C24" s="193"/>
      <c r="D24" s="193"/>
      <c r="E24" s="193"/>
      <c r="F24" s="193"/>
      <c r="G24" s="193"/>
      <c r="H24" s="193"/>
      <c r="I24" s="193"/>
      <c r="J24" s="193"/>
      <c r="K24" s="25"/>
    </row>
  </sheetData>
  <mergeCells count="4">
    <mergeCell ref="B22:J22"/>
    <mergeCell ref="B23:J23"/>
    <mergeCell ref="B24:J24"/>
    <mergeCell ref="B21:L2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E74"/>
  <sheetViews>
    <sheetView showGridLines="0" tabSelected="1" zoomScale="50" zoomScaleNormal="50" workbookViewId="0">
      <selection activeCell="S13" sqref="S13"/>
    </sheetView>
  </sheetViews>
  <sheetFormatPr baseColWidth="10" defaultRowHeight="15" x14ac:dyDescent="0.25"/>
  <cols>
    <col min="1" max="1" width="5.28515625" customWidth="1"/>
    <col min="2" max="2" width="44" customWidth="1"/>
    <col min="3" max="3" width="1.85546875" customWidth="1"/>
    <col min="4" max="4" width="21.28515625" customWidth="1"/>
    <col min="5" max="5" width="21.28515625" style="123" customWidth="1"/>
    <col min="6" max="6" width="27.7109375" customWidth="1"/>
    <col min="7" max="7" width="1.140625" customWidth="1"/>
    <col min="8" max="8" width="20.42578125" customWidth="1"/>
    <col min="9" max="9" width="21.42578125" style="123" customWidth="1"/>
    <col min="10" max="10" width="27.28515625" bestFit="1" customWidth="1"/>
    <col min="11" max="11" width="1.42578125" customWidth="1"/>
    <col min="12" max="12" width="22.140625" customWidth="1"/>
    <col min="13" max="13" width="21.28515625" customWidth="1"/>
    <col min="14" max="14" width="21.5703125" customWidth="1"/>
    <col min="15" max="15" width="21.42578125" customWidth="1"/>
    <col min="16" max="16" width="2.85546875" customWidth="1"/>
    <col min="18" max="18" width="16.42578125" bestFit="1" customWidth="1"/>
    <col min="19" max="19" width="15.140625" customWidth="1"/>
    <col min="20" max="20" width="15.28515625" customWidth="1"/>
    <col min="21" max="21" width="13.42578125" customWidth="1"/>
    <col min="22" max="22" width="13.85546875" customWidth="1"/>
    <col min="24" max="25" width="13.7109375" customWidth="1"/>
    <col min="26" max="26" width="23.28515625" customWidth="1"/>
    <col min="27" max="27" width="26.5703125" customWidth="1"/>
    <col min="28" max="28" width="9.7109375" bestFit="1" customWidth="1"/>
    <col min="29" max="29" width="67.7109375" bestFit="1" customWidth="1"/>
    <col min="30" max="31" width="41.140625" bestFit="1" customWidth="1"/>
  </cols>
  <sheetData>
    <row r="1" spans="2:17" ht="31.5" customHeight="1" x14ac:dyDescent="0.45">
      <c r="B1" s="11" t="s">
        <v>92</v>
      </c>
      <c r="C1" s="11"/>
    </row>
    <row r="2" spans="2:17" ht="15.75" customHeight="1" thickBot="1" x14ac:dyDescent="0.5">
      <c r="B2" s="11"/>
      <c r="C2" s="11"/>
    </row>
    <row r="3" spans="2:17" ht="60.75" customHeight="1" thickBot="1" x14ac:dyDescent="0.75">
      <c r="B3" s="8"/>
      <c r="C3" s="8"/>
      <c r="D3" s="196" t="s">
        <v>43</v>
      </c>
      <c r="E3" s="201"/>
      <c r="F3" s="197"/>
      <c r="G3" s="123"/>
      <c r="H3" s="198" t="s">
        <v>71</v>
      </c>
      <c r="I3" s="199"/>
      <c r="J3" s="200"/>
      <c r="K3" s="15"/>
      <c r="L3" s="196" t="s">
        <v>30</v>
      </c>
      <c r="M3" s="197"/>
      <c r="O3" s="27"/>
      <c r="P3" s="27"/>
      <c r="Q3" s="27"/>
    </row>
    <row r="4" spans="2:17" ht="90.75" customHeight="1" thickBot="1" x14ac:dyDescent="0.3">
      <c r="B4" s="29" t="s">
        <v>31</v>
      </c>
      <c r="C4" s="15"/>
      <c r="D4" s="29" t="s">
        <v>50</v>
      </c>
      <c r="E4" s="122" t="s">
        <v>51</v>
      </c>
      <c r="F4" s="122" t="s">
        <v>70</v>
      </c>
      <c r="G4" s="123"/>
      <c r="H4" s="109" t="s">
        <v>50</v>
      </c>
      <c r="I4" s="110" t="s">
        <v>51</v>
      </c>
      <c r="J4" s="127" t="s">
        <v>70</v>
      </c>
      <c r="K4" s="16"/>
      <c r="L4" s="29" t="s">
        <v>52</v>
      </c>
      <c r="M4" s="29" t="s">
        <v>53</v>
      </c>
    </row>
    <row r="5" spans="2:17" ht="30" x14ac:dyDescent="0.25">
      <c r="B5" s="31" t="s">
        <v>34</v>
      </c>
      <c r="C5" s="52"/>
      <c r="D5" s="41">
        <v>-31.219024099999999</v>
      </c>
      <c r="E5" s="32">
        <v>-4.8293768505581314</v>
      </c>
      <c r="F5" s="32">
        <v>5.2954286756857726E-3</v>
      </c>
      <c r="G5" s="123"/>
      <c r="H5" s="164">
        <v>48.758076559999999</v>
      </c>
      <c r="I5" s="111">
        <v>-0.6707939816177011</v>
      </c>
      <c r="J5" s="111">
        <v>1.0856746951879477E-2</v>
      </c>
      <c r="K5" s="17"/>
      <c r="L5" s="49" t="str">
        <f>"n.s. (**)"</f>
        <v>n.s. (**)</v>
      </c>
      <c r="M5" s="34" t="str">
        <f>"n.s. (**)"</f>
        <v>n.s. (**)</v>
      </c>
    </row>
    <row r="6" spans="2:17" ht="30" x14ac:dyDescent="0.25">
      <c r="B6" s="31" t="s">
        <v>35</v>
      </c>
      <c r="C6" s="52"/>
      <c r="D6" s="51">
        <v>-73.281106109999996</v>
      </c>
      <c r="E6" s="32">
        <v>3.13070802938471</v>
      </c>
      <c r="F6" s="32">
        <v>-1.4231365145980527E-2</v>
      </c>
      <c r="G6" s="123"/>
      <c r="H6" s="164">
        <v>93.217576030000004</v>
      </c>
      <c r="I6" s="111">
        <v>4.0669186455748907</v>
      </c>
      <c r="J6" s="111">
        <v>0.10390199855763531</v>
      </c>
      <c r="K6" s="17"/>
      <c r="L6" s="49">
        <v>0.21097965299999999</v>
      </c>
      <c r="M6" s="34">
        <v>-0.77550450900000001</v>
      </c>
    </row>
    <row r="7" spans="2:17" ht="30" x14ac:dyDescent="0.25">
      <c r="B7" s="31" t="s">
        <v>36</v>
      </c>
      <c r="C7" s="52"/>
      <c r="D7" s="51">
        <v>-111.98754460000001</v>
      </c>
      <c r="E7" s="32">
        <v>2.447878268167436</v>
      </c>
      <c r="F7" s="32">
        <v>-1.8336358042480985E-2</v>
      </c>
      <c r="G7" s="123"/>
      <c r="H7" s="164">
        <v>126.4730114</v>
      </c>
      <c r="I7" s="111">
        <v>3.4438181447224547</v>
      </c>
      <c r="J7" s="111">
        <v>0.1248431843107269</v>
      </c>
      <c r="K7" s="17"/>
      <c r="L7" s="49">
        <v>8.7313215999999999E-2</v>
      </c>
      <c r="M7" s="34">
        <v>-0.67502088900000001</v>
      </c>
    </row>
    <row r="8" spans="2:17" ht="30" x14ac:dyDescent="0.25">
      <c r="B8" s="31" t="s">
        <v>37</v>
      </c>
      <c r="C8" s="52"/>
      <c r="D8" s="51">
        <v>-139.30385079999999</v>
      </c>
      <c r="E8" s="32">
        <v>4.2527940418970456</v>
      </c>
      <c r="F8" s="32">
        <v>-3.4377450094158671E-2</v>
      </c>
      <c r="G8" s="123"/>
      <c r="H8" s="164">
        <v>154.8541869</v>
      </c>
      <c r="I8" s="111">
        <v>5.9285203232900985</v>
      </c>
      <c r="J8" s="111">
        <v>0.23400964521343254</v>
      </c>
      <c r="K8" s="17"/>
      <c r="L8" s="49">
        <v>7.3285205000000006E-2</v>
      </c>
      <c r="M8" s="34">
        <v>-0.656507438</v>
      </c>
    </row>
    <row r="9" spans="2:17" ht="30" x14ac:dyDescent="0.25">
      <c r="B9" s="31" t="s">
        <v>38</v>
      </c>
      <c r="C9" s="52"/>
      <c r="D9" s="51">
        <v>-73.147895759999997</v>
      </c>
      <c r="E9" s="32">
        <v>-25.77144116731548</v>
      </c>
      <c r="F9" s="32">
        <v>0.12471682325548052</v>
      </c>
      <c r="G9" s="123"/>
      <c r="H9" s="164">
        <v>182.40976069999999</v>
      </c>
      <c r="I9" s="111">
        <v>7.4793517759006001</v>
      </c>
      <c r="J9" s="111">
        <v>0.30086104161696375</v>
      </c>
      <c r="K9" s="17"/>
      <c r="L9" s="49">
        <v>0.41591786800000002</v>
      </c>
      <c r="M9" s="34">
        <v>-0.278445887</v>
      </c>
    </row>
    <row r="10" spans="2:17" ht="31.5" customHeight="1" x14ac:dyDescent="0.25">
      <c r="B10" s="31" t="s">
        <v>39</v>
      </c>
      <c r="C10" s="52"/>
      <c r="D10" s="51">
        <v>279.70476969999999</v>
      </c>
      <c r="E10" s="32">
        <v>46.788404868894126</v>
      </c>
      <c r="F10" s="32">
        <v>0.43767049751402387</v>
      </c>
      <c r="G10" s="123"/>
      <c r="H10" s="164">
        <v>222.95625250000001</v>
      </c>
      <c r="I10" s="111">
        <v>8.2457522149775855</v>
      </c>
      <c r="J10" s="111">
        <v>0.38550456626534724</v>
      </c>
      <c r="K10" s="17"/>
      <c r="L10" s="49">
        <v>1.7312442729999999</v>
      </c>
      <c r="M10" s="34">
        <v>0.96334758200000004</v>
      </c>
    </row>
    <row r="11" spans="2:17" ht="31.5" customHeight="1" x14ac:dyDescent="0.25">
      <c r="B11" s="31" t="s">
        <v>64</v>
      </c>
      <c r="C11" s="52"/>
      <c r="D11" s="51">
        <v>842.88191900000004</v>
      </c>
      <c r="E11" s="32">
        <v>17.766773713138729</v>
      </c>
      <c r="F11" s="32">
        <v>0.66256029252992121</v>
      </c>
      <c r="G11" s="123"/>
      <c r="H11" s="164">
        <v>286.29877010000001</v>
      </c>
      <c r="I11" s="111">
        <v>6.8955520500268319</v>
      </c>
      <c r="J11" s="111">
        <v>0.48443500719512267</v>
      </c>
      <c r="K11" s="17"/>
      <c r="L11" s="49">
        <v>3.4412153490000001</v>
      </c>
      <c r="M11" s="34">
        <v>2.5687104160000001</v>
      </c>
    </row>
    <row r="12" spans="2:17" ht="30" x14ac:dyDescent="0.25">
      <c r="B12" s="31" t="s">
        <v>40</v>
      </c>
      <c r="C12" s="52"/>
      <c r="D12" s="51">
        <v>1650.096014</v>
      </c>
      <c r="E12" s="32">
        <v>12.644773578781976</v>
      </c>
      <c r="F12" s="32">
        <v>0.98778801888057677</v>
      </c>
      <c r="G12" s="123"/>
      <c r="H12" s="164">
        <v>396.6807665</v>
      </c>
      <c r="I12" s="111">
        <v>7.794111017517058</v>
      </c>
      <c r="J12" s="111">
        <v>0.74844199492360208</v>
      </c>
      <c r="K12" s="17"/>
      <c r="L12" s="49">
        <v>5.30282578</v>
      </c>
      <c r="M12" s="34">
        <v>4.2750981770000003</v>
      </c>
    </row>
    <row r="13" spans="2:17" ht="30" x14ac:dyDescent="0.25">
      <c r="B13" s="31" t="s">
        <v>41</v>
      </c>
      <c r="C13" s="52"/>
      <c r="D13" s="51">
        <v>3319.7241309999999</v>
      </c>
      <c r="E13" s="32">
        <v>8.9230350841705395</v>
      </c>
      <c r="F13" s="32">
        <v>1.4948094872845081</v>
      </c>
      <c r="G13" s="123"/>
      <c r="H13" s="164">
        <v>647.21305150000001</v>
      </c>
      <c r="I13" s="111">
        <v>7.9153751523336258</v>
      </c>
      <c r="J13" s="111">
        <v>1.2406570067024967</v>
      </c>
      <c r="K13" s="17"/>
      <c r="L13" s="49">
        <v>8.2252392669999992</v>
      </c>
      <c r="M13" s="34">
        <v>6.8832764470000001</v>
      </c>
    </row>
    <row r="14" spans="2:17" s="123" customFormat="1" ht="30" x14ac:dyDescent="0.25">
      <c r="B14" s="31" t="s">
        <v>42</v>
      </c>
      <c r="C14" s="52"/>
      <c r="D14" s="51">
        <v>16394.69022</v>
      </c>
      <c r="E14" s="32">
        <v>7.1580242829134777</v>
      </c>
      <c r="F14" s="32">
        <v>6.1802081833583138</v>
      </c>
      <c r="H14" s="164">
        <v>2538.2815260000002</v>
      </c>
      <c r="I14" s="111">
        <v>10.540985558783177</v>
      </c>
      <c r="J14" s="111">
        <v>6.1715639374013138</v>
      </c>
      <c r="K14" s="17"/>
      <c r="L14" s="49">
        <v>18.008539809999998</v>
      </c>
      <c r="M14" s="34">
        <v>15.59419385</v>
      </c>
    </row>
    <row r="15" spans="2:17" ht="36.75" customHeight="1" x14ac:dyDescent="0.4">
      <c r="B15" s="130" t="s">
        <v>75</v>
      </c>
      <c r="C15" s="141"/>
      <c r="D15" s="142">
        <v>73077.515119999996</v>
      </c>
      <c r="E15" s="132">
        <v>7.1580242829134777</v>
      </c>
      <c r="F15" s="132">
        <v>3.5773766778586591</v>
      </c>
      <c r="G15" s="143"/>
      <c r="H15" s="165">
        <v>8998.75504</v>
      </c>
      <c r="I15" s="144">
        <v>12.556809495977706</v>
      </c>
      <c r="J15" s="144">
        <v>2.5257518216676593</v>
      </c>
      <c r="K15" s="145"/>
      <c r="L15" s="146">
        <v>22.162442930000001</v>
      </c>
      <c r="M15" s="135">
        <v>19.73257624</v>
      </c>
    </row>
    <row r="16" spans="2:17" ht="35.25" customHeight="1" thickBot="1" x14ac:dyDescent="0.45">
      <c r="B16" s="129" t="s">
        <v>76</v>
      </c>
      <c r="C16" s="147"/>
      <c r="D16" s="136">
        <v>312098.3431</v>
      </c>
      <c r="E16" s="137">
        <v>17.116317328345687</v>
      </c>
      <c r="F16" s="137">
        <v>2.39721011005014</v>
      </c>
      <c r="G16" s="143"/>
      <c r="H16" s="166">
        <v>33213.944819999997</v>
      </c>
      <c r="I16" s="148">
        <v>24.813776626487826</v>
      </c>
      <c r="J16" s="148">
        <v>1.6040029014602306</v>
      </c>
      <c r="K16" s="149"/>
      <c r="L16" s="150">
        <v>20.702086439999999</v>
      </c>
      <c r="M16" s="140">
        <v>18.71085132</v>
      </c>
    </row>
    <row r="17" spans="2:31" ht="7.5" customHeight="1" x14ac:dyDescent="0.7">
      <c r="H17" s="24"/>
      <c r="J17" s="128"/>
      <c r="N17" s="24"/>
      <c r="P17" s="27"/>
      <c r="Q17" s="27"/>
      <c r="R17" s="27"/>
      <c r="S17" s="27"/>
      <c r="T17" s="27"/>
    </row>
    <row r="18" spans="2:31" ht="98.25" customHeight="1" x14ac:dyDescent="0.7">
      <c r="B18" s="195" t="s">
        <v>103</v>
      </c>
      <c r="C18" s="195"/>
      <c r="D18" s="195"/>
      <c r="E18" s="195"/>
      <c r="F18" s="195"/>
      <c r="G18" s="195"/>
      <c r="H18" s="195"/>
      <c r="I18" s="195"/>
      <c r="J18" s="195"/>
      <c r="K18" s="195"/>
      <c r="L18" s="195"/>
      <c r="P18" s="27"/>
      <c r="Q18" s="27"/>
      <c r="R18" s="27"/>
      <c r="S18" s="27"/>
      <c r="T18" s="27"/>
    </row>
    <row r="19" spans="2:31" ht="34.5" customHeight="1" x14ac:dyDescent="0.7">
      <c r="B19" s="195" t="s">
        <v>93</v>
      </c>
      <c r="C19" s="195"/>
      <c r="D19" s="195"/>
      <c r="E19" s="195"/>
      <c r="F19" s="195"/>
      <c r="G19" s="195"/>
      <c r="H19" s="195"/>
      <c r="I19" s="195"/>
      <c r="J19" s="195"/>
      <c r="K19" s="21"/>
      <c r="L19" s="12"/>
      <c r="P19" s="27"/>
      <c r="Q19" s="27"/>
      <c r="R19" s="27"/>
      <c r="S19" s="27"/>
      <c r="T19" s="27"/>
    </row>
    <row r="20" spans="2:31" ht="29.25" customHeight="1" x14ac:dyDescent="0.7">
      <c r="B20" s="195" t="s">
        <v>95</v>
      </c>
      <c r="C20" s="195"/>
      <c r="D20" s="195"/>
      <c r="E20" s="195"/>
      <c r="F20" s="195"/>
      <c r="G20" s="195"/>
      <c r="H20" s="195"/>
      <c r="I20" s="195"/>
      <c r="J20" s="195"/>
      <c r="K20" s="21"/>
      <c r="L20" s="12"/>
      <c r="P20" s="27"/>
      <c r="Q20" s="27"/>
      <c r="R20" s="27"/>
      <c r="S20" s="27"/>
      <c r="T20" s="27"/>
    </row>
    <row r="21" spans="2:31" ht="21" customHeight="1" x14ac:dyDescent="0.7">
      <c r="B21" s="195" t="s">
        <v>94</v>
      </c>
      <c r="C21" s="195"/>
      <c r="D21" s="195"/>
      <c r="E21" s="195"/>
      <c r="F21" s="195"/>
      <c r="G21" s="195"/>
      <c r="H21" s="195"/>
      <c r="I21" s="12"/>
      <c r="J21" s="12"/>
      <c r="K21" s="12"/>
      <c r="L21" s="12"/>
      <c r="P21" s="27"/>
      <c r="Q21" s="27"/>
      <c r="R21" s="27"/>
      <c r="S21" s="27"/>
      <c r="T21" s="27"/>
    </row>
    <row r="22" spans="2:31" ht="46.5" x14ac:dyDescent="0.7">
      <c r="P22" s="27"/>
      <c r="Q22" s="27"/>
      <c r="R22" s="27"/>
      <c r="S22" s="27"/>
      <c r="T22" s="27"/>
    </row>
    <row r="23" spans="2:31" ht="46.5" x14ac:dyDescent="0.7">
      <c r="P23" s="27"/>
      <c r="Q23" s="27"/>
      <c r="R23" s="27"/>
      <c r="S23" s="27"/>
      <c r="T23" s="27"/>
    </row>
    <row r="24" spans="2:31" ht="46.5" x14ac:dyDescent="0.7">
      <c r="AA24" s="27"/>
      <c r="AB24" s="27"/>
      <c r="AC24" s="27"/>
      <c r="AD24" s="27"/>
      <c r="AE24" s="27"/>
    </row>
    <row r="25" spans="2:31" ht="46.5" x14ac:dyDescent="0.7">
      <c r="AA25" s="27"/>
      <c r="AB25" s="27"/>
      <c r="AC25" s="27"/>
      <c r="AD25" s="27"/>
      <c r="AE25" s="27"/>
    </row>
    <row r="26" spans="2:31" ht="46.5" x14ac:dyDescent="0.7">
      <c r="AA26" s="27"/>
      <c r="AB26" s="27"/>
      <c r="AC26" s="27"/>
      <c r="AD26" s="27"/>
      <c r="AE26" s="27"/>
    </row>
    <row r="27" spans="2:31" ht="46.5" x14ac:dyDescent="0.7">
      <c r="AA27" s="27"/>
      <c r="AB27" s="27"/>
      <c r="AC27" s="27"/>
      <c r="AD27" s="27"/>
      <c r="AE27" s="27"/>
    </row>
    <row r="28" spans="2:31" ht="46.5" x14ac:dyDescent="0.7">
      <c r="B28" s="13"/>
      <c r="C28" s="13"/>
      <c r="AA28" s="27"/>
      <c r="AB28" s="27"/>
      <c r="AC28" s="27"/>
      <c r="AD28" s="27"/>
      <c r="AE28" s="27"/>
    </row>
    <row r="29" spans="2:31" ht="46.5" x14ac:dyDescent="0.7">
      <c r="B29" s="14"/>
      <c r="C29" s="14"/>
      <c r="AA29" s="27"/>
      <c r="AB29" s="27"/>
      <c r="AC29" s="27"/>
      <c r="AD29" s="27"/>
      <c r="AE29" s="27"/>
    </row>
    <row r="30" spans="2:31" ht="46.5" x14ac:dyDescent="0.7">
      <c r="AA30" s="27"/>
      <c r="AB30" s="27"/>
      <c r="AC30" s="27"/>
      <c r="AD30" s="27"/>
      <c r="AE30" s="27"/>
    </row>
    <row r="31" spans="2:31" ht="46.5" x14ac:dyDescent="0.7">
      <c r="AA31" s="27"/>
      <c r="AB31" s="27"/>
      <c r="AC31" s="27"/>
      <c r="AD31" s="27"/>
      <c r="AE31" s="27"/>
    </row>
    <row r="32" spans="2:31" ht="46.5" x14ac:dyDescent="0.7">
      <c r="AA32" s="27"/>
      <c r="AB32" s="27"/>
      <c r="AC32" s="27"/>
      <c r="AD32" s="27"/>
      <c r="AE32" s="27"/>
    </row>
    <row r="33" spans="27:31" ht="46.5" x14ac:dyDescent="0.7">
      <c r="AA33" s="27"/>
      <c r="AB33" s="27"/>
      <c r="AC33" s="27"/>
      <c r="AD33" s="27"/>
      <c r="AE33" s="27"/>
    </row>
    <row r="34" spans="27:31" ht="46.5" x14ac:dyDescent="0.7">
      <c r="AA34" s="27"/>
      <c r="AB34" s="27"/>
      <c r="AC34" s="27"/>
      <c r="AD34" s="27"/>
      <c r="AE34" s="27"/>
    </row>
    <row r="35" spans="27:31" ht="46.5" x14ac:dyDescent="0.7">
      <c r="AA35" s="27"/>
      <c r="AB35" s="27"/>
      <c r="AC35" s="27"/>
      <c r="AD35" s="27"/>
      <c r="AE35" s="27"/>
    </row>
    <row r="36" spans="27:31" ht="46.5" x14ac:dyDescent="0.7">
      <c r="AA36" s="27"/>
      <c r="AB36" s="27"/>
      <c r="AC36" s="27"/>
      <c r="AD36" s="27"/>
      <c r="AE36" s="27"/>
    </row>
    <row r="37" spans="27:31" ht="46.5" x14ac:dyDescent="0.7">
      <c r="AA37" s="27"/>
      <c r="AB37" s="27"/>
      <c r="AC37" s="27"/>
      <c r="AD37" s="27"/>
      <c r="AE37" s="27"/>
    </row>
    <row r="38" spans="27:31" ht="46.5" x14ac:dyDescent="0.7">
      <c r="AA38" s="27"/>
      <c r="AB38" s="27"/>
      <c r="AC38" s="27"/>
      <c r="AD38" s="27"/>
      <c r="AE38" s="27"/>
    </row>
    <row r="39" spans="27:31" ht="46.5" x14ac:dyDescent="0.7">
      <c r="AA39" s="27"/>
      <c r="AB39" s="27"/>
      <c r="AC39" s="27"/>
      <c r="AD39" s="27"/>
      <c r="AE39" s="27"/>
    </row>
    <row r="40" spans="27:31" ht="46.5" x14ac:dyDescent="0.7">
      <c r="AA40" s="27"/>
      <c r="AB40" s="27"/>
      <c r="AC40" s="27"/>
      <c r="AD40" s="27"/>
      <c r="AE40" s="27"/>
    </row>
    <row r="41" spans="27:31" ht="46.5" x14ac:dyDescent="0.7">
      <c r="AA41" s="27"/>
      <c r="AB41" s="27"/>
      <c r="AC41" s="27"/>
      <c r="AD41" s="27"/>
      <c r="AE41" s="27"/>
    </row>
    <row r="42" spans="27:31" ht="46.5" x14ac:dyDescent="0.7">
      <c r="AA42" s="27"/>
      <c r="AB42" s="27"/>
      <c r="AC42" s="27"/>
      <c r="AD42" s="27"/>
      <c r="AE42" s="27"/>
    </row>
    <row r="43" spans="27:31" ht="46.5" x14ac:dyDescent="0.7">
      <c r="AA43" s="27"/>
      <c r="AB43" s="27"/>
      <c r="AC43" s="27"/>
      <c r="AD43" s="27"/>
      <c r="AE43" s="27"/>
    </row>
    <row r="44" spans="27:31" ht="46.5" x14ac:dyDescent="0.7">
      <c r="AA44" s="27"/>
      <c r="AB44" s="27"/>
      <c r="AC44" s="27"/>
      <c r="AD44" s="27"/>
      <c r="AE44" s="27"/>
    </row>
    <row r="45" spans="27:31" ht="46.5" x14ac:dyDescent="0.7">
      <c r="AA45" s="27"/>
      <c r="AB45" s="27"/>
      <c r="AC45" s="27"/>
      <c r="AD45" s="27"/>
      <c r="AE45" s="27"/>
    </row>
    <row r="46" spans="27:31" ht="46.5" x14ac:dyDescent="0.7">
      <c r="AA46" s="27"/>
      <c r="AB46" s="27"/>
      <c r="AC46" s="27"/>
      <c r="AD46" s="27"/>
      <c r="AE46" s="27"/>
    </row>
    <row r="47" spans="27:31" ht="46.5" x14ac:dyDescent="0.7">
      <c r="AA47" s="27"/>
      <c r="AB47" s="27"/>
      <c r="AC47" s="27"/>
      <c r="AD47" s="27"/>
      <c r="AE47" s="27"/>
    </row>
    <row r="48" spans="27:31" ht="46.5" x14ac:dyDescent="0.7">
      <c r="AA48" s="27"/>
      <c r="AB48" s="27"/>
      <c r="AC48" s="27"/>
      <c r="AD48" s="27"/>
      <c r="AE48" s="27"/>
    </row>
    <row r="49" spans="27:31" ht="46.5" x14ac:dyDescent="0.7">
      <c r="AA49" s="27"/>
      <c r="AB49" s="27"/>
      <c r="AC49" s="27"/>
      <c r="AD49" s="27"/>
      <c r="AE49" s="27"/>
    </row>
    <row r="50" spans="27:31" ht="46.5" x14ac:dyDescent="0.7">
      <c r="AA50" s="27"/>
      <c r="AB50" s="27"/>
      <c r="AC50" s="27"/>
      <c r="AD50" s="27"/>
      <c r="AE50" s="27"/>
    </row>
    <row r="51" spans="27:31" ht="46.5" x14ac:dyDescent="0.7">
      <c r="AA51" s="27"/>
      <c r="AB51" s="27"/>
      <c r="AC51" s="27"/>
      <c r="AD51" s="27"/>
      <c r="AE51" s="27"/>
    </row>
    <row r="52" spans="27:31" ht="46.5" x14ac:dyDescent="0.7">
      <c r="AA52" s="27"/>
      <c r="AB52" s="27"/>
      <c r="AC52" s="27"/>
      <c r="AD52" s="27"/>
      <c r="AE52" s="27"/>
    </row>
    <row r="53" spans="27:31" ht="46.5" x14ac:dyDescent="0.7">
      <c r="AA53" s="27"/>
      <c r="AB53" s="27"/>
      <c r="AC53" s="27"/>
      <c r="AD53" s="27"/>
      <c r="AE53" s="27"/>
    </row>
    <row r="54" spans="27:31" ht="46.5" x14ac:dyDescent="0.7">
      <c r="AA54" s="27"/>
      <c r="AB54" s="27"/>
      <c r="AC54" s="27"/>
      <c r="AD54" s="27"/>
      <c r="AE54" s="27"/>
    </row>
    <row r="55" spans="27:31" ht="46.5" x14ac:dyDescent="0.7">
      <c r="AA55" s="27"/>
      <c r="AB55" s="27"/>
      <c r="AC55" s="27"/>
      <c r="AD55" s="27"/>
      <c r="AE55" s="27"/>
    </row>
    <row r="56" spans="27:31" ht="46.5" x14ac:dyDescent="0.7">
      <c r="AA56" s="27"/>
      <c r="AB56" s="27"/>
      <c r="AC56" s="27"/>
      <c r="AD56" s="27"/>
      <c r="AE56" s="27"/>
    </row>
    <row r="57" spans="27:31" ht="46.5" x14ac:dyDescent="0.7">
      <c r="AA57" s="27"/>
      <c r="AB57" s="27"/>
      <c r="AC57" s="27"/>
      <c r="AD57" s="27"/>
      <c r="AE57" s="27"/>
    </row>
    <row r="58" spans="27:31" ht="46.5" x14ac:dyDescent="0.7">
      <c r="AA58" s="27"/>
      <c r="AB58" s="27"/>
      <c r="AC58" s="27"/>
      <c r="AD58" s="27"/>
      <c r="AE58" s="27"/>
    </row>
    <row r="59" spans="27:31" ht="46.5" x14ac:dyDescent="0.7">
      <c r="AA59" s="27"/>
      <c r="AB59" s="27"/>
      <c r="AC59" s="27"/>
      <c r="AD59" s="27"/>
      <c r="AE59" s="27"/>
    </row>
    <row r="60" spans="27:31" ht="46.5" x14ac:dyDescent="0.7">
      <c r="AA60" s="27"/>
      <c r="AB60" s="27"/>
      <c r="AC60" s="27"/>
      <c r="AD60" s="27"/>
      <c r="AE60" s="27"/>
    </row>
    <row r="61" spans="27:31" ht="46.5" x14ac:dyDescent="0.7">
      <c r="AA61" s="27"/>
      <c r="AB61" s="27"/>
      <c r="AC61" s="27"/>
      <c r="AD61" s="27"/>
      <c r="AE61" s="27"/>
    </row>
    <row r="62" spans="27:31" ht="46.5" x14ac:dyDescent="0.7">
      <c r="AA62" s="27"/>
      <c r="AB62" s="27"/>
      <c r="AC62" s="27"/>
      <c r="AD62" s="27"/>
      <c r="AE62" s="27"/>
    </row>
    <row r="63" spans="27:31" ht="46.5" x14ac:dyDescent="0.7">
      <c r="AA63" s="27"/>
      <c r="AB63" s="27"/>
      <c r="AC63" s="27"/>
      <c r="AD63" s="27"/>
      <c r="AE63" s="27"/>
    </row>
    <row r="64" spans="27:31" ht="46.5" x14ac:dyDescent="0.7">
      <c r="AA64" s="27"/>
      <c r="AB64" s="27"/>
      <c r="AC64" s="27"/>
      <c r="AD64" s="27"/>
      <c r="AE64" s="27"/>
    </row>
    <row r="73" spans="29:31" x14ac:dyDescent="0.25">
      <c r="AC73" t="s">
        <v>62</v>
      </c>
      <c r="AD73" t="s">
        <v>62</v>
      </c>
      <c r="AE73">
        <v>10563951955</v>
      </c>
    </row>
    <row r="74" spans="29:31" x14ac:dyDescent="0.25">
      <c r="AC74" t="s">
        <v>63</v>
      </c>
      <c r="AD74" t="s">
        <v>63</v>
      </c>
      <c r="AE74">
        <v>6674871.7800000003</v>
      </c>
    </row>
  </sheetData>
  <mergeCells count="7">
    <mergeCell ref="B21:H21"/>
    <mergeCell ref="H3:J3"/>
    <mergeCell ref="D3:F3"/>
    <mergeCell ref="L3:M3"/>
    <mergeCell ref="B18:L18"/>
    <mergeCell ref="B19:J19"/>
    <mergeCell ref="B20:J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lisez moi</vt:lpstr>
      <vt:lpstr>Graphique 1</vt:lpstr>
      <vt:lpstr>Tableau 1</vt:lpstr>
      <vt:lpstr>Tableau 2</vt:lpstr>
      <vt:lpstr>Tableau 3</vt:lpstr>
      <vt:lpstr>Tableau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2025-11-17T15:39:07Z</dcterms:modified>
</cp:coreProperties>
</file>