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etudes\etudes\recurrentes\Impôt sur les sociétés (IS) -BIC-BNC-BA anticipé\2025_bénéfices_prov\Redaction\"/>
    </mc:Choice>
  </mc:AlternateContent>
  <bookViews>
    <workbookView xWindow="0" yWindow="0" windowWidth="20460" windowHeight="6390" tabRatio="754" activeTab="2"/>
  </bookViews>
  <sheets>
    <sheet name="Lisez-moi" sheetId="1" r:id="rId1"/>
    <sheet name="Graphique 1" sheetId="2" r:id="rId2"/>
    <sheet name="Graphique 2" sheetId="3" r:id="rId3"/>
    <sheet name="Tableau 1" sheetId="18" r:id="rId4"/>
    <sheet name="Tableau 2" sheetId="13" r:id="rId5"/>
    <sheet name="Graphique 3" sheetId="4" r:id="rId6"/>
    <sheet name="Tableau 3" sheetId="14"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<sst xmlns="http://schemas.openxmlformats.org/spreadsheetml/2006/main" count="101" uniqueCount="87">
  <si>
    <t>Sources</t>
  </si>
  <si>
    <t>Champ</t>
  </si>
  <si>
    <t>Contenu des onglets</t>
  </si>
  <si>
    <t>Pour tout renseignement, vous pouvez nous contacter par e-mail à l'adresse suivante : cabinet.communication@dgfip.finances.gouv.fr</t>
  </si>
  <si>
    <t>Note : Le taux moyen d’imposition correspond, ici, au rapport entre l’IS brut et le montant des bénéfices</t>
  </si>
  <si>
    <t>Taux moyen d'imposition (axe de droite)</t>
  </si>
  <si>
    <t xml:space="preserve">B.I. à 15% </t>
  </si>
  <si>
    <t>B.I. à 25%</t>
  </si>
  <si>
    <t>B.I. à 26,5%</t>
  </si>
  <si>
    <t xml:space="preserve">B.I. à 27,5% </t>
  </si>
  <si>
    <t>B.I. à 28%</t>
  </si>
  <si>
    <t xml:space="preserve">B.I. à 31% </t>
  </si>
  <si>
    <t xml:space="preserve">B.I. à 33%1/3 </t>
  </si>
  <si>
    <t>Résultat fiscal des entreprises IS</t>
  </si>
  <si>
    <t>Résultat fiscal des entreprises IR</t>
  </si>
  <si>
    <t xml:space="preserve">Nombre d'entreprises à l'IS </t>
  </si>
  <si>
    <t>Graphique 1 : Nombre d’entreprises et résultat fiscal par régime d'imposition</t>
  </si>
  <si>
    <t>Sources : DGFiP.</t>
  </si>
  <si>
    <t xml:space="preserve">Déficit </t>
  </si>
  <si>
    <t>Sources : DGFiP</t>
  </si>
  <si>
    <t>SECTEURS D'ACTIVITÉS</t>
  </si>
  <si>
    <t>Résultat fiscal (en Md€)</t>
  </si>
  <si>
    <t>Variation 2022/2023    (en %)</t>
  </si>
  <si>
    <t>Résultat moyen par entreprise (en k€)</t>
  </si>
  <si>
    <t>IS brut             (en Md€)</t>
  </si>
  <si>
    <t>Nombre d'entreprises  (en milliers)</t>
  </si>
  <si>
    <t>Tous secteurs</t>
  </si>
  <si>
    <t>Commerce, transports, hébergement et restauration</t>
  </si>
  <si>
    <t xml:space="preserve">Industrie </t>
  </si>
  <si>
    <t>dont industrie manufacturière</t>
  </si>
  <si>
    <t>Activités financières et d'assurance</t>
  </si>
  <si>
    <t>Activités spécialisées, scientifiques et de soutien</t>
  </si>
  <si>
    <t>Construction</t>
  </si>
  <si>
    <t>Activités immobilières</t>
  </si>
  <si>
    <t>Information et communication</t>
  </si>
  <si>
    <t>Administration, enseignement, santé</t>
  </si>
  <si>
    <t>Agriculture, sylviculture et pêche</t>
  </si>
  <si>
    <t xml:space="preserve">Autres activités </t>
  </si>
  <si>
    <t>Taille de l'entreprise</t>
  </si>
  <si>
    <t xml:space="preserve">Très petites entreprises </t>
  </si>
  <si>
    <t xml:space="preserve">Petites et moyennes entreprises </t>
  </si>
  <si>
    <t xml:space="preserve">Entreprises de taille intermédiaire </t>
  </si>
  <si>
    <t>Grandes Entreprises</t>
  </si>
  <si>
    <t>Ensemble</t>
  </si>
  <si>
    <t>Nombre d'entreprises (en milliers)</t>
  </si>
  <si>
    <t>Variation du nombre d'entreprises (%)</t>
  </si>
  <si>
    <t>Variation du résultat fiscal (%)</t>
  </si>
  <si>
    <t>Bénéfices (en Md€)</t>
  </si>
  <si>
    <t>Variation des bénéfices (%)</t>
  </si>
  <si>
    <t>IS brut (en Md€)</t>
  </si>
  <si>
    <t>Variation IS brut (%)</t>
  </si>
  <si>
    <t xml:space="preserve">Note : La législation ne permet pas de rembourser certains crédits d’impôt immédiatement ; le montant du remboursement accordé en 2023 </t>
  </si>
  <si>
    <t xml:space="preserve">correspond donc à des crédits d’impôt générés au titre de plusieurs années. Les bénéficiaires sont les entreprises ayant bénéficié d’un versement </t>
  </si>
  <si>
    <t xml:space="preserve">ou d’une imputation au titre du crédit d'impôt au cours de l’année 2023 </t>
  </si>
  <si>
    <t xml:space="preserve">Tableau 3: Principaux crédits et réductions d’impôt des entreprises en 2023 </t>
  </si>
  <si>
    <t>Réductions et crédits d'impôt</t>
  </si>
  <si>
    <t>Nombre d'entreprises bénéficiaires d'une créance (en milliers)</t>
  </si>
  <si>
    <t>TOTAL</t>
  </si>
  <si>
    <t>Crédit impôt recherche (*)</t>
  </si>
  <si>
    <t>Réduction d impôt mécénat d'entreprise</t>
  </si>
  <si>
    <t xml:space="preserve">Crédit d impôt compétitivité et emploi </t>
  </si>
  <si>
    <t>Prêt à taux zéro renforcé</t>
  </si>
  <si>
    <t>Crédits d'impôt outre-mer</t>
  </si>
  <si>
    <t xml:space="preserve">Autres réductions et crédits d impôt </t>
  </si>
  <si>
    <t>(*) Le crédit d'impôt recherche comprend , ici, le CI en faveur de la recherche, le CI en faveur de l'innovation et le CI en faveur de la recherche collaborative</t>
  </si>
  <si>
    <t>Graphique 2 : Décomposition du bénéfice imposable (BI) par taux d'imposition</t>
  </si>
  <si>
    <t xml:space="preserve">Graphique 3 : Résultat déclaré par les entreprises imposées à l’IR </t>
  </si>
  <si>
    <t>L'impôt sur le bénéfice 2024 des entreprises</t>
  </si>
  <si>
    <t>DGFiP Statistiques n°39 - Septembre 2025</t>
  </si>
  <si>
    <t>Les données utilisées sont des données fiscales, issues des déclarations de résultat et des déclarations de revenus relatives à l'année 2024.</t>
  </si>
  <si>
    <t>Le champ de cette publication concerne les résultats des entreprises relatifs à l'année 2024. Il existe deux catégories  d'imposition pour les entreprises: l'impôt sur les sociétés (IS) et l'impôt sur le revenu (IR). Au sein de cette dernière catégorie, une entreprise peut être imposée sous le régime des bénéfices industriels et commerciaux (BIC), des bénéfices non commerciaux (BNC) ou des bénéfices agricoles (BA). Les entreprises à l'IR peuvent être imposées sous le régime de la déclaration de résultat ou sous le régime "micro" si elles remplissent certaines conditions (notamment de chiffre d'affaires). Dans ce cas, elles indiquent leur chiffre d'affaires directement sur la déclaration des revenus et bénéficient d'un abattement forfaitaire.</t>
  </si>
  <si>
    <t>Tableau 1. Répartition du nombre et du résultat des entreprises imposées à l'IS par secteurs d'activités en 2024 et variation du résultat fiscal entre 2023 et 2024</t>
  </si>
  <si>
    <t>Tableau 2. Répartition des montants déclarés à l’IS et leur évolution par catégorie d’entreprises en 2024</t>
  </si>
  <si>
    <t>Crédits utilisés en 2024 (Md€)</t>
  </si>
  <si>
    <t>Variation des crédits utilisés entre 2023 et 2024 (Md€)</t>
  </si>
  <si>
    <t>Crédits acquis au titre de 2024 (Md€)</t>
  </si>
  <si>
    <t xml:space="preserve">Tableau 3: Principaux crédits et réductions d’impôt des entreprises en 2024 </t>
  </si>
  <si>
    <t>Tableau 2: Répartition des montants déclarés à l’IS et leur évolution par catégorie d’entreprises en 2024</t>
  </si>
  <si>
    <t>Tableau 1 : Répartition du nombre, du résultat fiscal et de l'IS brut des entreprises imposées à l'IS par secteurs d'activités en 2024 et variation du résultat fiscal entre 2023 et 2024</t>
  </si>
  <si>
    <t xml:space="preserve">Nombre d'entreprises à l'IR </t>
  </si>
  <si>
    <t>Millions</t>
  </si>
  <si>
    <t>Mds€</t>
  </si>
  <si>
    <t>BIC régime réel</t>
  </si>
  <si>
    <t>BNC régime réel</t>
  </si>
  <si>
    <t>BA régime réel</t>
  </si>
  <si>
    <t xml:space="preserve">Régime "micro" </t>
  </si>
  <si>
    <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</si>
</sst>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00"/>
    <numFmt numFmtId="166" formatCode="#,##0.0,"/>
    <numFmt numFmtId="167" formatCode="#,##0.0,,,"/>
    <numFmt numFmtId="168" formatCode="#,##0.0"/>
    <numFmt numFmtId="169" formatCode="#,##0,"/>
  </numFmts>
  <fonts count="26" x14ac:knownFonts="1">
    <font>
      <sz val="11"/>
      <color theme="1"/>
      <name val="Calibri"/>
      <family val="2"/>
      <scheme val="minor"/>
    </font>
    <font>
      <b/>
      <sz val="16"/>
      <color rgb="FF11499E"/>
      <name val="Calibri"/>
      <family val="2"/>
      <scheme val="minor"/>
    </font>
    <font>
      <b/>
      <sz val="12"/>
      <name val="Calibri"/>
      <family val="2"/>
      <scheme val="minor"/>
    </font>
    <font>
      <b/>
      <sz val="8"/>
      <color indexed="10"/>
      <name val="Calibri"/>
      <family val="2"/>
      <scheme val="minor"/>
    </font>
    <font>
      <b/>
      <sz val="8"/>
      <name val="Calibri"/>
      <family val="2"/>
      <scheme val="minor"/>
    </font>
    <font>
      <sz val="8"/>
      <color rgb="FF11499E"/>
      <name val="Calibri"/>
      <family val="2"/>
      <scheme val="minor"/>
    </font>
    <font>
      <sz val="10"/>
      <name val="Arial"/>
      <family val="2"/>
    </font>
    <font>
      <u/>
      <sz val="11"/>
      <color theme="10"/>
      <name val="Calibri"/>
      <family val="2"/>
      <scheme val="minor"/>
    </font>
    <font>
      <u/>
      <sz val="8.5"/>
      <color indexed="12"/>
      <name val="Arial"/>
      <family val="2"/>
    </font>
    <font>
      <sz val="8"/>
      <name val="Calibri"/>
      <family val="2"/>
      <scheme val="minor"/>
    </font>
    <font>
      <b/>
      <sz val="20"/>
      <name val="Calibri"/>
      <family val="2"/>
      <scheme val="minor"/>
    </font>
    <font>
      <b/>
      <sz val="20"/>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
      <b/>
      <sz val="10"/>
      <color theme="1"/>
      <name val="Calibri"/>
      <family val="2"/>
      <scheme val="minor"/>
    </font>
    <font>
      <b/>
      <sz val="18"/>
      <name val="Calibri"/>
      <family val="2"/>
      <scheme val="minor"/>
    </font>
    <font>
      <i/>
      <sz val="12"/>
      <color theme="1"/>
      <name val="Calibri"/>
      <family val="2"/>
      <scheme val="minor"/>
    </font>
    <font>
      <b/>
      <sz val="12"/>
      <color theme="4" tint="-0.499984740745262"/>
      <name val="Calibri"/>
      <family val="2"/>
      <scheme val="minor"/>
    </font>
    <font>
      <b/>
      <sz val="14"/>
      <color theme="4" tint="-0.499984740745262"/>
      <name val="Calibri"/>
      <family val="2"/>
      <scheme val="minor"/>
    </font>
    <font>
      <b/>
      <sz val="10"/>
      <name val="Calibri"/>
      <family val="2"/>
      <scheme val="minor"/>
    </font>
    <font>
      <b/>
      <sz val="11"/>
      <name val="Calibri"/>
      <family val="2"/>
      <scheme val="minor"/>
    </font>
    <font>
      <b/>
      <i/>
      <sz val="10"/>
      <color theme="1"/>
      <name val="Calibri"/>
      <family val="2"/>
      <scheme val="minor"/>
    </font>
    <font>
      <i/>
      <sz val="10"/>
      <color theme="1"/>
      <name val="Calibri"/>
      <family val="2"/>
      <scheme val="minor"/>
    </font>
    <font>
      <b/>
      <i/>
      <sz val="11"/>
      <color theme="1"/>
      <name val="Calibri"/>
      <family val="2"/>
      <scheme val="minor"/>
    </font>
  </fonts>
  <fills count="8">
    <fill>
      <patternFill patternType="none"/>
    </fill>
    <fill>
      <patternFill patternType="gray125"/>
    </fill>
    <fill>
      <patternFill patternType="solid">
        <fgColor indexed="44"/>
        <bgColor indexed="64"/>
      </patternFill>
    </fill>
    <fill>
      <patternFill patternType="solid">
        <fgColor rgb="FFFDCF41"/>
        <bgColor indexed="27"/>
      </patternFill>
    </fill>
    <fill>
      <patternFill patternType="solid">
        <fgColor theme="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79998168889431442"/>
        <bgColor indexed="64"/>
      </patternFill>
    </fill>
  </fills>
  <borders count="13">
    <border>
      <left/>
      <right/>
      <top/>
      <bottom/>
      <diagonal/>
    </border>
    <border>
      <left style="thin">
        <color rgb="FF11499E"/>
      </left>
      <right/>
      <top style="thin">
        <color rgb="FF11499E"/>
      </top>
      <bottom style="thin">
        <color rgb="FF11499E"/>
      </bottom>
      <diagonal/>
    </border>
    <border>
      <left/>
      <right/>
      <top style="thin">
        <color rgb="FF11499E"/>
      </top>
      <bottom style="thin">
        <color rgb="FF11499E"/>
      </bottom>
      <diagonal/>
    </border>
    <border>
      <left/>
      <right style="thin">
        <color rgb="FF11499E"/>
      </right>
      <top style="thin">
        <color rgb="FF11499E"/>
      </top>
      <bottom style="thin">
        <color rgb="FF11499E"/>
      </bottom>
      <diagonal/>
    </border>
    <border>
      <left style="thin">
        <color indexed="64"/>
      </left>
      <right style="thin">
        <color indexed="64"/>
      </right>
      <top style="thin">
        <color indexed="64"/>
      </top>
      <bottom style="thin">
        <color indexed="64"/>
      </bottom>
      <diagonal/>
    </border>
    <border>
      <left/>
      <right/>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right style="medium">
        <color theme="4" tint="-0.499984740745262"/>
      </right>
      <top/>
      <bottom/>
      <diagonal/>
    </border>
    <border>
      <left/>
      <right style="medium">
        <color theme="4" tint="-0.499984740745262"/>
      </right>
      <top/>
      <bottom style="medium">
        <color theme="4" tint="-0.499984740745262"/>
      </bottom>
      <diagonal/>
    </border>
    <border>
      <left style="medium">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bottom style="medium">
        <color theme="4" tint="-0.499984740745262"/>
      </bottom>
      <diagonal/>
    </border>
    <border>
      <left/>
      <right/>
      <top style="medium">
        <color theme="4" tint="-0.499984740745262"/>
      </top>
      <bottom style="medium">
        <color theme="4" tint="-0.499984740745262"/>
      </bottom>
      <diagonal/>
    </border>
  </borders>
  <cellStyleXfs count="4">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cellStyleXfs>
  <cellXfs count="91">
    <xf numFmtId="0" fontId="0" fillId="0" borderId="0" xfId="0"/>
    <xf numFmtId="0" fontId="10" fillId="4" borderId="0" xfId="0" applyFont="1" applyFill="1"/>
    <xf numFmtId="1" fontId="11" fillId="4" borderId="0" xfId="0" applyNumberFormat="1" applyFont="1" applyFill="1" applyBorder="1" applyAlignment="1">
      <alignment horizontal="right" vertical="center"/>
    </xf>
    <xf numFmtId="164" fontId="11" fillId="4" borderId="0" xfId="0" applyNumberFormat="1" applyFont="1" applyFill="1" applyBorder="1" applyAlignment="1">
      <alignment horizontal="right" vertical="center"/>
    </xf>
    <xf numFmtId="1" fontId="11" fillId="4" borderId="0" xfId="0" applyNumberFormat="1" applyFont="1" applyFill="1" applyBorder="1" applyAlignment="1">
      <alignment horizontal="right" vertical="center" indent="1"/>
    </xf>
    <xf numFmtId="165" fontId="11" fillId="4" borderId="0" xfId="0" applyNumberFormat="1" applyFont="1" applyFill="1" applyBorder="1" applyAlignment="1">
      <alignment horizontal="right" vertical="center" indent="1"/>
    </xf>
    <xf numFmtId="0" fontId="2" fillId="4" borderId="0" xfId="0" applyFont="1" applyFill="1" applyAlignment="1"/>
    <xf numFmtId="0" fontId="17" fillId="4" borderId="0" xfId="0" applyFont="1" applyFill="1"/>
    <xf numFmtId="0" fontId="0" fillId="0" borderId="0" xfId="0" applyBorder="1"/>
    <xf numFmtId="166" fontId="14" fillId="4" borderId="0" xfId="0" applyNumberFormat="1" applyFont="1" applyFill="1" applyBorder="1" applyAlignment="1">
      <alignment horizontal="right" indent="1"/>
    </xf>
    <xf numFmtId="167" fontId="14" fillId="4" borderId="0" xfId="0" applyNumberFormat="1" applyFont="1" applyFill="1" applyBorder="1" applyAlignment="1">
      <alignment horizontal="right" indent="1"/>
    </xf>
    <xf numFmtId="0" fontId="20" fillId="4" borderId="0" xfId="0" applyFont="1" applyFill="1"/>
    <xf numFmtId="0" fontId="21" fillId="4" borderId="0" xfId="0" applyFont="1" applyFill="1" applyAlignment="1"/>
    <xf numFmtId="0" fontId="19" fillId="0" borderId="5" xfId="0" applyFont="1" applyBorder="1"/>
    <xf numFmtId="0" fontId="0" fillId="0" borderId="5" xfId="0" applyBorder="1"/>
    <xf numFmtId="0" fontId="0" fillId="0" borderId="7" xfId="0" applyBorder="1"/>
    <xf numFmtId="3" fontId="12" fillId="6" borderId="9" xfId="0" applyNumberFormat="1" applyFont="1" applyFill="1" applyBorder="1" applyAlignment="1">
      <alignment horizontal="center" vertical="center" wrapText="1"/>
    </xf>
    <xf numFmtId="166" fontId="13" fillId="4" borderId="7" xfId="0" applyNumberFormat="1" applyFont="1" applyFill="1" applyBorder="1" applyAlignment="1">
      <alignment horizontal="right" vertical="center" indent="1"/>
    </xf>
    <xf numFmtId="168" fontId="18" fillId="4" borderId="7" xfId="0" applyNumberFormat="1" applyFont="1" applyFill="1" applyBorder="1" applyAlignment="1">
      <alignment horizontal="right" vertical="center" indent="1"/>
    </xf>
    <xf numFmtId="167" fontId="13" fillId="4" borderId="7" xfId="0" applyNumberFormat="1" applyFont="1" applyFill="1" applyBorder="1" applyAlignment="1">
      <alignment horizontal="right" vertical="center" indent="1"/>
    </xf>
    <xf numFmtId="164" fontId="18" fillId="4" borderId="7" xfId="0" applyNumberFormat="1" applyFont="1" applyFill="1" applyBorder="1" applyAlignment="1">
      <alignment horizontal="right" vertical="center" indent="1"/>
    </xf>
    <xf numFmtId="168" fontId="18" fillId="4" borderId="8" xfId="0" applyNumberFormat="1" applyFont="1" applyFill="1" applyBorder="1" applyAlignment="1">
      <alignment horizontal="right" vertical="center" indent="1"/>
    </xf>
    <xf numFmtId="0" fontId="13" fillId="4" borderId="10" xfId="0" applyFont="1" applyFill="1" applyBorder="1" applyAlignment="1">
      <alignment vertical="center"/>
    </xf>
    <xf numFmtId="0" fontId="18" fillId="4" borderId="10" xfId="0" applyFont="1" applyFill="1" applyBorder="1" applyAlignment="1">
      <alignment vertical="center"/>
    </xf>
    <xf numFmtId="3" fontId="18" fillId="4" borderId="11" xfId="0" applyNumberFormat="1" applyFont="1" applyFill="1" applyBorder="1" applyAlignment="1">
      <alignment vertical="center"/>
    </xf>
    <xf numFmtId="3" fontId="13" fillId="7" borderId="9" xfId="0" applyNumberFormat="1" applyFont="1" applyFill="1" applyBorder="1" applyAlignment="1">
      <alignment horizontal="center" vertical="center" wrapText="1"/>
    </xf>
    <xf numFmtId="3" fontId="13" fillId="7" borderId="6" xfId="0" applyNumberFormat="1" applyFont="1" applyFill="1" applyBorder="1" applyAlignment="1">
      <alignment horizontal="center" vertical="center" wrapText="1"/>
    </xf>
    <xf numFmtId="169" fontId="13" fillId="4" borderId="7" xfId="0" applyNumberFormat="1" applyFont="1" applyFill="1" applyBorder="1" applyAlignment="1">
      <alignment horizontal="right" vertical="center" indent="1"/>
    </xf>
    <xf numFmtId="0" fontId="20" fillId="0" borderId="5" xfId="0" applyFont="1" applyBorder="1"/>
    <xf numFmtId="3" fontId="12" fillId="4" borderId="9" xfId="0" applyNumberFormat="1" applyFont="1" applyFill="1" applyBorder="1" applyAlignment="1">
      <alignment horizontal="center"/>
    </xf>
    <xf numFmtId="3" fontId="12" fillId="4" borderId="10" xfId="0" applyNumberFormat="1" applyFont="1" applyFill="1" applyBorder="1"/>
    <xf numFmtId="3" fontId="12" fillId="4" borderId="11" xfId="0" applyNumberFormat="1" applyFont="1" applyFill="1" applyBorder="1"/>
    <xf numFmtId="169" fontId="13" fillId="4" borderId="9" xfId="0" applyNumberFormat="1" applyFont="1" applyFill="1" applyBorder="1" applyAlignment="1">
      <alignment horizontal="right" indent="1"/>
    </xf>
    <xf numFmtId="169" fontId="14" fillId="4" borderId="10" xfId="0" applyNumberFormat="1" applyFont="1" applyFill="1" applyBorder="1" applyAlignment="1">
      <alignment horizontal="right" indent="1"/>
    </xf>
    <xf numFmtId="169" fontId="14" fillId="4" borderId="11" xfId="0" applyNumberFormat="1" applyFont="1" applyFill="1" applyBorder="1" applyAlignment="1">
      <alignment horizontal="right" indent="1"/>
    </xf>
    <xf numFmtId="167" fontId="13" fillId="4" borderId="9" xfId="0" applyNumberFormat="1" applyFont="1" applyFill="1" applyBorder="1" applyAlignment="1">
      <alignment horizontal="right" indent="1"/>
    </xf>
    <xf numFmtId="167" fontId="14" fillId="4" borderId="10" xfId="0" applyNumberFormat="1" applyFont="1" applyFill="1" applyBorder="1" applyAlignment="1">
      <alignment horizontal="right" indent="1"/>
    </xf>
    <xf numFmtId="167" fontId="14" fillId="4" borderId="11" xfId="0" applyNumberFormat="1" applyFont="1" applyFill="1" applyBorder="1" applyAlignment="1">
      <alignment horizontal="right" indent="1"/>
    </xf>
    <xf numFmtId="0" fontId="22" fillId="4" borderId="4" xfId="0" applyFont="1" applyFill="1" applyBorder="1" applyAlignment="1">
      <alignment horizontal="center" vertical="center" wrapText="1"/>
    </xf>
    <xf numFmtId="0" fontId="22" fillId="4" borderId="4" xfId="0" applyFont="1" applyFill="1" applyBorder="1" applyAlignment="1">
      <alignment horizontal="center" wrapText="1"/>
    </xf>
    <xf numFmtId="0" fontId="12" fillId="5" borderId="4" xfId="0" applyFont="1" applyFill="1" applyBorder="1" applyAlignment="1">
      <alignment horizontal="center" vertical="center" wrapText="1"/>
    </xf>
    <xf numFmtId="3" fontId="0" fillId="5" borderId="4" xfId="0" applyNumberFormat="1" applyFont="1" applyFill="1" applyBorder="1" applyAlignment="1">
      <alignment horizontal="right" vertical="center" wrapText="1"/>
    </xf>
    <xf numFmtId="0" fontId="12" fillId="4" borderId="4" xfId="0" applyFont="1" applyFill="1" applyBorder="1" applyAlignment="1">
      <alignment horizontal="center" vertical="center"/>
    </xf>
    <xf numFmtId="1" fontId="12" fillId="4" borderId="4" xfId="0" applyNumberFormat="1" applyFont="1" applyFill="1" applyBorder="1" applyAlignment="1">
      <alignment horizontal="center" vertical="center"/>
    </xf>
    <xf numFmtId="1" fontId="12" fillId="4" borderId="4" xfId="0" applyNumberFormat="1" applyFont="1" applyFill="1" applyBorder="1" applyAlignment="1">
      <alignment horizontal="right" vertical="center"/>
    </xf>
    <xf numFmtId="164" fontId="12" fillId="4" borderId="4" xfId="0" applyNumberFormat="1" applyFont="1" applyFill="1" applyBorder="1" applyAlignment="1">
      <alignment horizontal="right" vertical="center"/>
    </xf>
    <xf numFmtId="164" fontId="12" fillId="4" borderId="4" xfId="0" applyNumberFormat="1" applyFont="1" applyFill="1" applyBorder="1" applyAlignment="1">
      <alignment horizontal="right" vertical="center" indent="1"/>
    </xf>
    <xf numFmtId="3" fontId="16" fillId="7" borderId="6" xfId="0" applyNumberFormat="1" applyFont="1" applyFill="1" applyBorder="1" applyAlignment="1">
      <alignment horizontal="center" vertical="center" wrapText="1"/>
    </xf>
    <xf numFmtId="3" fontId="16" fillId="7" borderId="12" xfId="0" applyNumberFormat="1" applyFont="1" applyFill="1" applyBorder="1" applyAlignment="1">
      <alignment horizontal="center" vertical="center" wrapText="1"/>
    </xf>
    <xf numFmtId="3" fontId="16" fillId="7" borderId="9" xfId="0" applyNumberFormat="1" applyFont="1" applyFill="1" applyBorder="1" applyAlignment="1">
      <alignment horizontal="center" vertical="center" wrapText="1"/>
    </xf>
    <xf numFmtId="3" fontId="16" fillId="4" borderId="6" xfId="0" applyNumberFormat="1" applyFont="1" applyFill="1" applyBorder="1" applyAlignment="1">
      <alignment horizontal="left"/>
    </xf>
    <xf numFmtId="167" fontId="16" fillId="4" borderId="12" xfId="0" applyNumberFormat="1" applyFont="1" applyFill="1" applyBorder="1" applyAlignment="1">
      <alignment horizontal="right" indent="1"/>
    </xf>
    <xf numFmtId="168" fontId="16" fillId="4" borderId="9" xfId="0" applyNumberFormat="1" applyFont="1" applyFill="1" applyBorder="1" applyAlignment="1">
      <alignment horizontal="right" indent="1"/>
    </xf>
    <xf numFmtId="166" fontId="16" fillId="4" borderId="6" xfId="0" applyNumberFormat="1" applyFont="1" applyFill="1" applyBorder="1" applyAlignment="1">
      <alignment horizontal="right" indent="1"/>
    </xf>
    <xf numFmtId="167" fontId="16" fillId="4" borderId="6" xfId="0" applyNumberFormat="1" applyFont="1" applyFill="1" applyBorder="1" applyAlignment="1">
      <alignment horizontal="right" indent="1"/>
    </xf>
    <xf numFmtId="169" fontId="16" fillId="4" borderId="6" xfId="0" applyNumberFormat="1" applyFont="1" applyFill="1" applyBorder="1" applyAlignment="1">
      <alignment horizontal="right" indent="1"/>
    </xf>
    <xf numFmtId="3" fontId="16" fillId="4" borderId="7" xfId="0" applyNumberFormat="1" applyFont="1" applyFill="1" applyBorder="1" applyAlignment="1">
      <alignment horizontal="left"/>
    </xf>
    <xf numFmtId="167" fontId="15" fillId="4" borderId="0" xfId="0" applyNumberFormat="1" applyFont="1" applyFill="1" applyBorder="1" applyAlignment="1">
      <alignment horizontal="right" indent="1"/>
    </xf>
    <xf numFmtId="164" fontId="15" fillId="4" borderId="10" xfId="0" applyNumberFormat="1" applyFont="1" applyFill="1" applyBorder="1" applyAlignment="1">
      <alignment horizontal="right" indent="1"/>
    </xf>
    <xf numFmtId="166" fontId="15" fillId="4" borderId="7" xfId="0" applyNumberFormat="1" applyFont="1" applyFill="1" applyBorder="1" applyAlignment="1">
      <alignment horizontal="right" indent="1"/>
    </xf>
    <xf numFmtId="167" fontId="15" fillId="4" borderId="7" xfId="0" applyNumberFormat="1" applyFont="1" applyFill="1" applyBorder="1" applyAlignment="1">
      <alignment horizontal="right" indent="1"/>
    </xf>
    <xf numFmtId="169" fontId="15" fillId="4" borderId="7" xfId="0" applyNumberFormat="1" applyFont="1" applyFill="1" applyBorder="1" applyAlignment="1">
      <alignment horizontal="right" indent="1"/>
    </xf>
    <xf numFmtId="3" fontId="23" fillId="4" borderId="7" xfId="0" applyNumberFormat="1" applyFont="1" applyFill="1" applyBorder="1" applyAlignment="1"/>
    <xf numFmtId="167" fontId="24" fillId="4" borderId="0" xfId="0" applyNumberFormat="1" applyFont="1" applyFill="1" applyBorder="1" applyAlignment="1">
      <alignment horizontal="right" indent="1"/>
    </xf>
    <xf numFmtId="164" fontId="24" fillId="4" borderId="10" xfId="0" applyNumberFormat="1" applyFont="1" applyFill="1" applyBorder="1" applyAlignment="1">
      <alignment horizontal="right" indent="1"/>
    </xf>
    <xf numFmtId="166" fontId="24" fillId="4" borderId="7" xfId="0" applyNumberFormat="1" applyFont="1" applyFill="1" applyBorder="1" applyAlignment="1">
      <alignment horizontal="right" indent="1"/>
    </xf>
    <xf numFmtId="167" fontId="24" fillId="4" borderId="7" xfId="0" applyNumberFormat="1" applyFont="1" applyFill="1" applyBorder="1" applyAlignment="1">
      <alignment horizontal="right" indent="1"/>
    </xf>
    <xf numFmtId="169" fontId="24" fillId="4" borderId="7" xfId="0" applyNumberFormat="1" applyFont="1" applyFill="1" applyBorder="1" applyAlignment="1">
      <alignment horizontal="right" indent="1"/>
    </xf>
    <xf numFmtId="3" fontId="16" fillId="4" borderId="8" xfId="0" applyNumberFormat="1" applyFont="1" applyFill="1" applyBorder="1" applyAlignment="1">
      <alignment horizontal="left"/>
    </xf>
    <xf numFmtId="167" fontId="15" fillId="4" borderId="5" xfId="0" applyNumberFormat="1" applyFont="1" applyFill="1" applyBorder="1" applyAlignment="1">
      <alignment horizontal="right" indent="1"/>
    </xf>
    <xf numFmtId="164" fontId="15" fillId="4" borderId="11" xfId="0" applyNumberFormat="1" applyFont="1" applyFill="1" applyBorder="1" applyAlignment="1">
      <alignment horizontal="right" indent="1"/>
    </xf>
    <xf numFmtId="166" fontId="15" fillId="4" borderId="8" xfId="0" applyNumberFormat="1" applyFont="1" applyFill="1" applyBorder="1" applyAlignment="1">
      <alignment horizontal="right" indent="1"/>
    </xf>
    <xf numFmtId="167" fontId="15" fillId="4" borderId="8" xfId="0" applyNumberFormat="1" applyFont="1" applyFill="1" applyBorder="1" applyAlignment="1">
      <alignment horizontal="right" indent="1"/>
    </xf>
    <xf numFmtId="169" fontId="15" fillId="4" borderId="8" xfId="0" applyNumberFormat="1" applyFont="1" applyFill="1" applyBorder="1" applyAlignment="1">
      <alignment horizontal="right" indent="1"/>
    </xf>
    <xf numFmtId="1" fontId="12" fillId="4" borderId="0" xfId="0" applyNumberFormat="1" applyFont="1" applyFill="1" applyBorder="1" applyAlignment="1">
      <alignment horizontal="center" vertical="center"/>
    </xf>
    <xf numFmtId="1" fontId="12" fillId="4" borderId="0" xfId="0" applyNumberFormat="1" applyFont="1" applyFill="1" applyBorder="1" applyAlignment="1">
      <alignment horizontal="right" vertical="center"/>
    </xf>
    <xf numFmtId="1" fontId="25" fillId="4" borderId="4" xfId="0" applyNumberFormat="1" applyFont="1" applyFill="1" applyBorder="1" applyAlignment="1">
      <alignment horizontal="center" vertical="center"/>
    </xf>
    <xf numFmtId="2" fontId="12" fillId="4" borderId="4" xfId="0" applyNumberFormat="1" applyFont="1" applyFill="1" applyBorder="1" applyAlignment="1">
      <alignment horizontal="right" vertical="center" indent="1"/>
    </xf>
    <xf numFmtId="2" fontId="12" fillId="4" borderId="4" xfId="0" applyNumberFormat="1" applyFont="1" applyFill="1" applyBorder="1" applyAlignment="1">
      <alignment horizontal="center" vertical="center" wrapText="1"/>
    </xf>
    <xf numFmtId="0" fontId="25" fillId="4" borderId="4" xfId="0" applyFont="1" applyFill="1" applyBorder="1" applyAlignment="1">
      <alignment horizontal="center" vertical="center" wrapText="1"/>
    </xf>
    <xf numFmtId="0" fontId="4" fillId="2" borderId="0" xfId="1" applyFont="1" applyFill="1" applyBorder="1" applyAlignment="1">
      <alignment horizontal="lef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0" applyFont="1" applyFill="1" applyAlignment="1">
      <alignment horizontal="left" wrapText="1"/>
    </xf>
    <xf numFmtId="0" fontId="3" fillId="0" borderId="0" xfId="0" applyFont="1" applyAlignment="1">
      <alignment wrapText="1"/>
    </xf>
    <xf numFmtId="0" fontId="4" fillId="2" borderId="0" xfId="0" applyFont="1" applyFill="1" applyAlignment="1">
      <alignment horizontal="left" wrapText="1"/>
    </xf>
    <xf numFmtId="0" fontId="5" fillId="0" borderId="0" xfId="0" applyFont="1" applyAlignment="1">
      <alignment horizontal="left" vertical="center" wrapText="1"/>
    </xf>
    <xf numFmtId="0" fontId="7" fillId="0" borderId="0" xfId="2"/>
    <xf numFmtId="0" fontId="9" fillId="3" borderId="0" xfId="3" applyFont="1" applyFill="1" applyAlignment="1" applyProtection="1">
      <alignment horizontal="center"/>
    </xf>
    <xf numFmtId="0" fontId="7" fillId="0" borderId="0" xfId="2" applyFill="1" applyAlignment="1">
      <alignment horizontal="left" vertical="center" wrapText="1"/>
    </xf>
  </cellXfs>
  <cellStyles count="4">
    <cellStyle name="Lien hypertexte" xfId="2" builtinId="8"/>
    <cellStyle name="Lien hypertexte_Données trimestrielles sur les heures supplémentaires (juillet 2012)" xfId="3"/>
    <cellStyle name="Normal" xfId="0" builtinId="0"/>
    <cellStyle name="Normal_Tdb_CIVIS_finjuillet2011_internet" xfId="1"/>
  </cellStyles>
  <dxfs count="0"/>
  <tableStyles count="0" defaultTableStyle="TableStyleMedium2" defaultPivotStyle="PivotStyleLight16"/>
  <colors>
    <mruColors>
      <color rgb="FFFDCF41"/>
      <color rgb="FFFF8D7E"/>
      <color rgb="FF5593ED"/>
      <color rgb="FF1149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r>
              <a:rPr lang="fr-FR" sz="1600"/>
              <a:t>Résultat des entreprises</a:t>
            </a:r>
          </a:p>
        </c:rich>
      </c:tx>
      <c:layout/>
      <c:overlay val="0"/>
      <c:spPr>
        <a:noFill/>
        <a:ln>
          <a:noFill/>
        </a:ln>
        <a:effectLst/>
      </c:spPr>
      <c:txPr>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8.695332853228771E-2"/>
          <c:y val="0.14546142390686265"/>
          <c:w val="0.91027110098079844"/>
          <c:h val="0.59090275549248295"/>
        </c:manualLayout>
      </c:layout>
      <c:barChart>
        <c:barDir val="col"/>
        <c:grouping val="stacked"/>
        <c:varyColors val="0"/>
        <c:ser>
          <c:idx val="2"/>
          <c:order val="0"/>
          <c:tx>
            <c:strRef>
              <c:f>'Graphique 1'!$B$32</c:f>
              <c:strCache>
                <c:ptCount val="1"/>
                <c:pt idx="0">
                  <c:v>Résultat fiscal des entreprises IR</c:v>
                </c:pt>
              </c:strCache>
            </c:strRef>
          </c:tx>
          <c:spPr>
            <a:solidFill>
              <a:schemeClr val="accent1">
                <a:lumMod val="60000"/>
                <a:lumOff val="40000"/>
              </a:schemeClr>
            </a:solidFill>
            <a:ln>
              <a:solidFill>
                <a:schemeClr val="accent1">
                  <a:lumMod val="60000"/>
                  <a:lumOff val="40000"/>
                </a:schemeClr>
              </a:solidFill>
            </a:ln>
            <a:effectLst/>
          </c:spPr>
          <c:invertIfNegative val="0"/>
          <c:cat>
            <c:numRef>
              <c:f>'Graphique 1'!$C$30:$I$30</c:f>
              <c:numCache>
                <c:formatCode>General</c:formatCode>
                <c:ptCount val="7"/>
                <c:pt idx="0">
                  <c:v>2018</c:v>
                </c:pt>
                <c:pt idx="1">
                  <c:v>2019</c:v>
                </c:pt>
                <c:pt idx="2">
                  <c:v>2020</c:v>
                </c:pt>
                <c:pt idx="3">
                  <c:v>2021</c:v>
                </c:pt>
                <c:pt idx="4">
                  <c:v>2022</c:v>
                </c:pt>
                <c:pt idx="5">
                  <c:v>2023</c:v>
                </c:pt>
                <c:pt idx="6">
                  <c:v>2024</c:v>
                </c:pt>
              </c:numCache>
            </c:numRef>
          </c:cat>
          <c:val>
            <c:numRef>
              <c:f>'Graphique 1'!$C$32:$I$32</c:f>
              <c:numCache>
                <c:formatCode>0</c:formatCode>
                <c:ptCount val="7"/>
                <c:pt idx="0">
                  <c:v>76.806051018000005</c:v>
                </c:pt>
                <c:pt idx="1">
                  <c:v>77.780046209999995</c:v>
                </c:pt>
                <c:pt idx="2">
                  <c:v>72.098523166000007</c:v>
                </c:pt>
                <c:pt idx="3">
                  <c:v>80.070530955999999</c:v>
                </c:pt>
                <c:pt idx="4">
                  <c:v>87.185480816999998</c:v>
                </c:pt>
                <c:pt idx="5">
                  <c:v>84.286251536296803</c:v>
                </c:pt>
                <c:pt idx="6">
                  <c:v>87.377383395417326</c:v>
                </c:pt>
              </c:numCache>
            </c:numRef>
          </c:val>
          <c:extLst xmlns:c15="http://schemas.microsoft.com/office/drawing/2012/chart">
            <c:ext xmlns:c16="http://schemas.microsoft.com/office/drawing/2014/chart" uri="{C3380CC4-5D6E-409C-BE32-E72D297353CC}">
              <c16:uniqueId val="{00000001-F276-40F8-A9DD-CAA0B359BB26}"/>
            </c:ext>
          </c:extLst>
        </c:ser>
        <c:ser>
          <c:idx val="0"/>
          <c:order val="1"/>
          <c:tx>
            <c:strRef>
              <c:f>'Graphique 1'!$B$31</c:f>
              <c:strCache>
                <c:ptCount val="1"/>
                <c:pt idx="0">
                  <c:v>Résultat fiscal des entreprises IS</c:v>
                </c:pt>
              </c:strCache>
            </c:strRef>
          </c:tx>
          <c:spPr>
            <a:solidFill>
              <a:schemeClr val="accent1">
                <a:lumMod val="50000"/>
              </a:schemeClr>
            </a:solidFill>
            <a:ln>
              <a:solidFill>
                <a:schemeClr val="accent1">
                  <a:lumMod val="50000"/>
                </a:schemeClr>
              </a:solidFill>
            </a:ln>
            <a:effectLst/>
          </c:spPr>
          <c:invertIfNegative val="0"/>
          <c:cat>
            <c:numRef>
              <c:f>'Graphique 1'!$C$30:$I$30</c:f>
              <c:numCache>
                <c:formatCode>General</c:formatCode>
                <c:ptCount val="7"/>
                <c:pt idx="0">
                  <c:v>2018</c:v>
                </c:pt>
                <c:pt idx="1">
                  <c:v>2019</c:v>
                </c:pt>
                <c:pt idx="2">
                  <c:v>2020</c:v>
                </c:pt>
                <c:pt idx="3">
                  <c:v>2021</c:v>
                </c:pt>
                <c:pt idx="4">
                  <c:v>2022</c:v>
                </c:pt>
                <c:pt idx="5">
                  <c:v>2023</c:v>
                </c:pt>
                <c:pt idx="6">
                  <c:v>2024</c:v>
                </c:pt>
              </c:numCache>
            </c:numRef>
          </c:cat>
          <c:val>
            <c:numRef>
              <c:f>'Graphique 1'!$C$31:$I$31</c:f>
              <c:numCache>
                <c:formatCode>0</c:formatCode>
                <c:ptCount val="7"/>
                <c:pt idx="0">
                  <c:v>112.88612356500001</c:v>
                </c:pt>
                <c:pt idx="1">
                  <c:v>154.445971023</c:v>
                </c:pt>
                <c:pt idx="2">
                  <c:v>90.622457901999994</c:v>
                </c:pt>
                <c:pt idx="3">
                  <c:v>186.401839889</c:v>
                </c:pt>
                <c:pt idx="4">
                  <c:v>164.142080819</c:v>
                </c:pt>
                <c:pt idx="5">
                  <c:v>180.91149167</c:v>
                </c:pt>
                <c:pt idx="6">
                  <c:v>172.04321523827048</c:v>
                </c:pt>
              </c:numCache>
            </c:numRef>
          </c:val>
          <c:extLst xmlns:c15="http://schemas.microsoft.com/office/drawing/2012/chart">
            <c:ext xmlns:c16="http://schemas.microsoft.com/office/drawing/2014/chart" uri="{C3380CC4-5D6E-409C-BE32-E72D297353CC}">
              <c16:uniqueId val="{00000000-F276-40F8-A9DD-CAA0B359BB26}"/>
            </c:ext>
          </c:extLst>
        </c:ser>
        <c:dLbls>
          <c:showLegendKey val="0"/>
          <c:showVal val="0"/>
          <c:showCatName val="0"/>
          <c:showSerName val="0"/>
          <c:showPercent val="0"/>
          <c:showBubbleSize val="0"/>
        </c:dLbls>
        <c:gapWidth val="80"/>
        <c:overlap val="100"/>
        <c:axId val="763856975"/>
        <c:axId val="763857391"/>
        <c:extLst/>
      </c:barChart>
      <c:dateAx>
        <c:axId val="76385697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7391"/>
        <c:crosses val="autoZero"/>
        <c:auto val="0"/>
        <c:lblOffset val="100"/>
        <c:baseTimeUnit val="days"/>
        <c:majorUnit val="1"/>
      </c:dateAx>
      <c:valAx>
        <c:axId val="763857391"/>
        <c:scaling>
          <c:orientation val="minMax"/>
          <c:max val="280"/>
          <c:min val="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a:t>Md€</a:t>
                </a:r>
              </a:p>
            </c:rich>
          </c:tx>
          <c:layout>
            <c:manualLayout>
              <c:xMode val="edge"/>
              <c:yMode val="edge"/>
              <c:x val="9.0351868949755461E-4"/>
              <c:y val="1.3666663079615988E-3"/>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6975"/>
        <c:crosses val="autoZero"/>
        <c:crossBetween val="between"/>
        <c:majorUnit val="40"/>
      </c:valAx>
      <c:spPr>
        <a:noFill/>
        <a:ln>
          <a:noFill/>
        </a:ln>
        <a:effectLst/>
      </c:spPr>
    </c:plotArea>
    <c:legend>
      <c:legendPos val="b"/>
      <c:layout>
        <c:manualLayout>
          <c:xMode val="edge"/>
          <c:yMode val="edge"/>
          <c:x val="9.0433267029890393E-3"/>
          <c:y val="0.82534420059842539"/>
          <c:w val="0.98444912965114328"/>
          <c:h val="0.17465579940157464"/>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r>
              <a:rPr lang="fr-FR" sz="1600"/>
              <a:t>Nombre d'entreprises</a:t>
            </a:r>
          </a:p>
        </c:rich>
      </c:tx>
      <c:layout/>
      <c:overlay val="0"/>
      <c:spPr>
        <a:noFill/>
        <a:ln>
          <a:noFill/>
        </a:ln>
        <a:effectLst/>
      </c:spPr>
      <c:txPr>
        <a:bodyPr rot="0" spcFirstLastPara="1" vertOverflow="ellipsis" vert="horz" wrap="square" anchor="ctr" anchorCtr="1"/>
        <a:lstStyle/>
        <a:p>
          <a:pPr>
            <a:defRPr sz="192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7.1602431275038E-2"/>
          <c:y val="0.11262069291873676"/>
          <c:w val="0.92562197817378089"/>
          <c:h val="0.60732312098654595"/>
        </c:manualLayout>
      </c:layout>
      <c:barChart>
        <c:barDir val="col"/>
        <c:grouping val="stacked"/>
        <c:varyColors val="0"/>
        <c:ser>
          <c:idx val="0"/>
          <c:order val="0"/>
          <c:tx>
            <c:strRef>
              <c:f>'Graphique 1'!$B$27</c:f>
              <c:strCache>
                <c:ptCount val="1"/>
                <c:pt idx="0">
                  <c:v>Nombre d'entreprises à l'IR </c:v>
                </c:pt>
              </c:strCache>
            </c:strRef>
          </c:tx>
          <c:spPr>
            <a:solidFill>
              <a:schemeClr val="accent1">
                <a:lumMod val="60000"/>
                <a:lumOff val="40000"/>
              </a:schemeClr>
            </a:solidFill>
            <a:ln>
              <a:solidFill>
                <a:schemeClr val="accent1">
                  <a:lumMod val="60000"/>
                  <a:lumOff val="40000"/>
                </a:schemeClr>
              </a:solidFill>
            </a:ln>
            <a:effectLst/>
          </c:spPr>
          <c:invertIfNegative val="0"/>
          <c:cat>
            <c:numRef>
              <c:f>'Graphique 1'!$C$25:$I$25</c:f>
              <c:numCache>
                <c:formatCode>0</c:formatCode>
                <c:ptCount val="7"/>
                <c:pt idx="0">
                  <c:v>2018</c:v>
                </c:pt>
                <c:pt idx="1">
                  <c:v>2019</c:v>
                </c:pt>
                <c:pt idx="2">
                  <c:v>2020</c:v>
                </c:pt>
                <c:pt idx="3">
                  <c:v>2021</c:v>
                </c:pt>
                <c:pt idx="4">
                  <c:v>2022</c:v>
                </c:pt>
                <c:pt idx="5">
                  <c:v>2023</c:v>
                </c:pt>
                <c:pt idx="6">
                  <c:v>2024</c:v>
                </c:pt>
              </c:numCache>
            </c:numRef>
          </c:cat>
          <c:val>
            <c:numRef>
              <c:f>'Graphique 1'!$C$27:$I$27</c:f>
              <c:numCache>
                <c:formatCode>0.0</c:formatCode>
                <c:ptCount val="7"/>
                <c:pt idx="0">
                  <c:v>3.3868040000000001</c:v>
                </c:pt>
                <c:pt idx="1">
                  <c:v>3.595682</c:v>
                </c:pt>
                <c:pt idx="2">
                  <c:v>3.7452570000000001</c:v>
                </c:pt>
                <c:pt idx="3">
                  <c:v>3.989916</c:v>
                </c:pt>
                <c:pt idx="4">
                  <c:v>4.2623340000000001</c:v>
                </c:pt>
                <c:pt idx="5">
                  <c:v>4.4411389999999997</c:v>
                </c:pt>
                <c:pt idx="6">
                  <c:v>4.7401593190072182</c:v>
                </c:pt>
              </c:numCache>
            </c:numRef>
          </c:val>
          <c:extLst xmlns:c15="http://schemas.microsoft.com/office/drawing/2012/chart">
            <c:ext xmlns:c16="http://schemas.microsoft.com/office/drawing/2014/chart" uri="{C3380CC4-5D6E-409C-BE32-E72D297353CC}">
              <c16:uniqueId val="{00000001-8549-4499-BDA6-2C8CFA642400}"/>
            </c:ext>
          </c:extLst>
        </c:ser>
        <c:ser>
          <c:idx val="2"/>
          <c:order val="1"/>
          <c:tx>
            <c:strRef>
              <c:f>'Graphique 1'!$B$26</c:f>
              <c:strCache>
                <c:ptCount val="1"/>
                <c:pt idx="0">
                  <c:v>Nombre d'entreprises à l'IS </c:v>
                </c:pt>
              </c:strCache>
            </c:strRef>
          </c:tx>
          <c:spPr>
            <a:solidFill>
              <a:schemeClr val="accent1">
                <a:lumMod val="50000"/>
              </a:schemeClr>
            </a:solidFill>
            <a:ln>
              <a:solidFill>
                <a:schemeClr val="accent1">
                  <a:lumMod val="50000"/>
                </a:schemeClr>
              </a:solidFill>
            </a:ln>
            <a:effectLst/>
          </c:spPr>
          <c:invertIfNegative val="0"/>
          <c:cat>
            <c:numRef>
              <c:f>'Graphique 1'!$C$25:$I$25</c:f>
              <c:numCache>
                <c:formatCode>0</c:formatCode>
                <c:ptCount val="7"/>
                <c:pt idx="0">
                  <c:v>2018</c:v>
                </c:pt>
                <c:pt idx="1">
                  <c:v>2019</c:v>
                </c:pt>
                <c:pt idx="2">
                  <c:v>2020</c:v>
                </c:pt>
                <c:pt idx="3">
                  <c:v>2021</c:v>
                </c:pt>
                <c:pt idx="4">
                  <c:v>2022</c:v>
                </c:pt>
                <c:pt idx="5">
                  <c:v>2023</c:v>
                </c:pt>
                <c:pt idx="6">
                  <c:v>2024</c:v>
                </c:pt>
              </c:numCache>
            </c:numRef>
          </c:cat>
          <c:val>
            <c:numRef>
              <c:f>'Graphique 1'!$C$26:$I$26</c:f>
              <c:numCache>
                <c:formatCode>0.0</c:formatCode>
                <c:ptCount val="7"/>
                <c:pt idx="0">
                  <c:v>1.8975219999999999</c:v>
                </c:pt>
                <c:pt idx="1">
                  <c:v>2.002659</c:v>
                </c:pt>
                <c:pt idx="2">
                  <c:v>2.136933</c:v>
                </c:pt>
                <c:pt idx="3">
                  <c:v>2.2857750000000001</c:v>
                </c:pt>
                <c:pt idx="4">
                  <c:v>2.4389159999999999</c:v>
                </c:pt>
                <c:pt idx="5">
                  <c:v>2.5882170000000002</c:v>
                </c:pt>
                <c:pt idx="6">
                  <c:v>2.7183757489945082</c:v>
                </c:pt>
              </c:numCache>
            </c:numRef>
          </c:val>
          <c:extLst xmlns:c15="http://schemas.microsoft.com/office/drawing/2012/chart">
            <c:ext xmlns:c16="http://schemas.microsoft.com/office/drawing/2014/chart" uri="{C3380CC4-5D6E-409C-BE32-E72D297353CC}">
              <c16:uniqueId val="{00000000-8549-4499-BDA6-2C8CFA642400}"/>
            </c:ext>
          </c:extLst>
        </c:ser>
        <c:dLbls>
          <c:showLegendKey val="0"/>
          <c:showVal val="0"/>
          <c:showCatName val="0"/>
          <c:showSerName val="0"/>
          <c:showPercent val="0"/>
          <c:showBubbleSize val="0"/>
        </c:dLbls>
        <c:gapWidth val="80"/>
        <c:overlap val="100"/>
        <c:axId val="763856975"/>
        <c:axId val="763857391"/>
        <c:extLst/>
      </c:barChart>
      <c:dateAx>
        <c:axId val="763856975"/>
        <c:scaling>
          <c:orientation val="minMax"/>
        </c:scaling>
        <c:delete val="0"/>
        <c:axPos val="b"/>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7391"/>
        <c:crosses val="autoZero"/>
        <c:auto val="0"/>
        <c:lblOffset val="100"/>
        <c:baseTimeUnit val="days"/>
        <c:majorUnit val="1"/>
      </c:dateAx>
      <c:valAx>
        <c:axId val="763857391"/>
        <c:scaling>
          <c:orientation val="minMax"/>
          <c:max val="7.5"/>
          <c:min val="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sz="1400"/>
                  <a:t>Millions</a:t>
                </a:r>
              </a:p>
            </c:rich>
          </c:tx>
          <c:layout>
            <c:manualLayout>
              <c:xMode val="edge"/>
              <c:yMode val="edge"/>
              <c:x val="9.0343970161624538E-4"/>
              <c:y val="2.1071078461160922E-2"/>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763856975"/>
        <c:crosses val="autoZero"/>
        <c:crossBetween val="between"/>
        <c:majorUnit val="1"/>
      </c:valAx>
      <c:spPr>
        <a:noFill/>
        <a:ln>
          <a:noFill/>
        </a:ln>
        <a:effectLst/>
      </c:spPr>
    </c:plotArea>
    <c:legend>
      <c:legendPos val="b"/>
      <c:layout>
        <c:manualLayout>
          <c:xMode val="edge"/>
          <c:yMode val="edge"/>
          <c:x val="3.9745130542892658E-2"/>
          <c:y val="0.87132122398180156"/>
          <c:w val="0.9"/>
          <c:h val="7.5267593775155808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74591265481407E-2"/>
          <c:y val="9.6190856654440812E-2"/>
          <c:w val="0.85590635328234299"/>
          <c:h val="0.65424832706722469"/>
        </c:manualLayout>
      </c:layout>
      <c:barChart>
        <c:barDir val="col"/>
        <c:grouping val="stacked"/>
        <c:varyColors val="0"/>
        <c:ser>
          <c:idx val="0"/>
          <c:order val="0"/>
          <c:tx>
            <c:strRef>
              <c:f>'Graphique 2'!$B$22</c:f>
              <c:strCache>
                <c:ptCount val="1"/>
                <c:pt idx="0">
                  <c:v>B.I. à 15% </c:v>
                </c:pt>
              </c:strCache>
            </c:strRef>
          </c:tx>
          <c:spPr>
            <a:solidFill>
              <a:schemeClr val="bg2">
                <a:lumMod val="75000"/>
              </a:schemeClr>
            </a:solidFill>
            <a:ln w="57150">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2'!$C$22:$I$22</c:f>
              <c:numCache>
                <c:formatCode>#,##0</c:formatCode>
                <c:ptCount val="7"/>
                <c:pt idx="0">
                  <c:v>18.223428762000001</c:v>
                </c:pt>
                <c:pt idx="1">
                  <c:v>20.580861861999999</c:v>
                </c:pt>
                <c:pt idx="2">
                  <c:v>20.488496176000002</c:v>
                </c:pt>
                <c:pt idx="3">
                  <c:v>23.510748356000001</c:v>
                </c:pt>
                <c:pt idx="4">
                  <c:v>26.636942294000001</c:v>
                </c:pt>
                <c:pt idx="5">
                  <c:v>28.944907658000002</c:v>
                </c:pt>
                <c:pt idx="6">
                  <c:v>30.123825590351167</c:v>
                </c:pt>
              </c:numCache>
            </c:numRef>
          </c:val>
          <c:extLst>
            <c:ext xmlns:c16="http://schemas.microsoft.com/office/drawing/2014/chart" uri="{C3380CC4-5D6E-409C-BE32-E72D297353CC}">
              <c16:uniqueId val="{00000000-A599-46FE-A7EF-06F5BB8FBDCE}"/>
            </c:ext>
          </c:extLst>
        </c:ser>
        <c:ser>
          <c:idx val="1"/>
          <c:order val="1"/>
          <c:tx>
            <c:strRef>
              <c:f>'Graphique 2'!$B$23</c:f>
              <c:strCache>
                <c:ptCount val="1"/>
                <c:pt idx="0">
                  <c:v>B.I. à 25%</c:v>
                </c:pt>
              </c:strCache>
            </c:strRef>
          </c:tx>
          <c:spPr>
            <a:solidFill>
              <a:schemeClr val="accent1">
                <a:lumMod val="20000"/>
                <a:lumOff val="80000"/>
              </a:schemeClr>
            </a:solidFill>
            <a:ln w="38100">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2'!$C$23:$I$23</c:f>
              <c:numCache>
                <c:formatCode>#,##0</c:formatCode>
                <c:ptCount val="7"/>
                <c:pt idx="4">
                  <c:v>201.79876791500001</c:v>
                </c:pt>
                <c:pt idx="5">
                  <c:v>253.238679617</c:v>
                </c:pt>
                <c:pt idx="6">
                  <c:v>253.52969377507654</c:v>
                </c:pt>
              </c:numCache>
            </c:numRef>
          </c:val>
          <c:extLst>
            <c:ext xmlns:c16="http://schemas.microsoft.com/office/drawing/2014/chart" uri="{C3380CC4-5D6E-409C-BE32-E72D297353CC}">
              <c16:uniqueId val="{00000001-A599-46FE-A7EF-06F5BB8FBDCE}"/>
            </c:ext>
          </c:extLst>
        </c:ser>
        <c:ser>
          <c:idx val="2"/>
          <c:order val="2"/>
          <c:tx>
            <c:strRef>
              <c:f>'Graphique 2'!$B$24</c:f>
              <c:strCache>
                <c:ptCount val="1"/>
                <c:pt idx="0">
                  <c:v>B.I. à 26,5%</c:v>
                </c:pt>
              </c:strCache>
            </c:strRef>
          </c:tx>
          <c:spPr>
            <a:solidFill>
              <a:schemeClr val="accent1">
                <a:lumMod val="40000"/>
                <a:lumOff val="60000"/>
              </a:schemeClr>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2'!$C$24:$I$24</c:f>
              <c:numCache>
                <c:formatCode>#,##0</c:formatCode>
                <c:ptCount val="7"/>
                <c:pt idx="3">
                  <c:v>92.290504131999995</c:v>
                </c:pt>
                <c:pt idx="4">
                  <c:v>39.345776829999998</c:v>
                </c:pt>
                <c:pt idx="5">
                  <c:v>4.3354638000000001E-2</c:v>
                </c:pt>
                <c:pt idx="6">
                  <c:v>0</c:v>
                </c:pt>
              </c:numCache>
            </c:numRef>
          </c:val>
          <c:extLst>
            <c:ext xmlns:c16="http://schemas.microsoft.com/office/drawing/2014/chart" uri="{C3380CC4-5D6E-409C-BE32-E72D297353CC}">
              <c16:uniqueId val="{00000002-A599-46FE-A7EF-06F5BB8FBDCE}"/>
            </c:ext>
          </c:extLst>
        </c:ser>
        <c:ser>
          <c:idx val="3"/>
          <c:order val="3"/>
          <c:tx>
            <c:strRef>
              <c:f>'Graphique 2'!$B$25</c:f>
              <c:strCache>
                <c:ptCount val="1"/>
                <c:pt idx="0">
                  <c:v>B.I. à 27,5% </c:v>
                </c:pt>
              </c:strCache>
            </c:strRef>
          </c:tx>
          <c:spPr>
            <a:solidFill>
              <a:schemeClr val="accent1">
                <a:lumMod val="60000"/>
                <a:lumOff val="40000"/>
              </a:schemeClr>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2'!$C$25:$I$25</c:f>
              <c:numCache>
                <c:formatCode>#,##0</c:formatCode>
                <c:ptCount val="7"/>
                <c:pt idx="3">
                  <c:v>104.38448266</c:v>
                </c:pt>
                <c:pt idx="4">
                  <c:v>9.6002111659999994</c:v>
                </c:pt>
                <c:pt idx="5">
                  <c:v>0</c:v>
                </c:pt>
                <c:pt idx="6">
                  <c:v>0</c:v>
                </c:pt>
              </c:numCache>
            </c:numRef>
          </c:val>
          <c:extLst>
            <c:ext xmlns:c16="http://schemas.microsoft.com/office/drawing/2014/chart" uri="{C3380CC4-5D6E-409C-BE32-E72D297353CC}">
              <c16:uniqueId val="{00000003-A599-46FE-A7EF-06F5BB8FBDCE}"/>
            </c:ext>
          </c:extLst>
        </c:ser>
        <c:ser>
          <c:idx val="4"/>
          <c:order val="4"/>
          <c:tx>
            <c:strRef>
              <c:f>'Graphique 2'!$B$26</c:f>
              <c:strCache>
                <c:ptCount val="1"/>
                <c:pt idx="0">
                  <c:v>B.I. à 28%</c:v>
                </c:pt>
              </c:strCache>
            </c:strRef>
          </c:tx>
          <c:spPr>
            <a:solidFill>
              <a:srgbClr val="00B0F0"/>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2'!$C$26:$I$26</c:f>
              <c:numCache>
                <c:formatCode>#,##0</c:formatCode>
                <c:ptCount val="7"/>
                <c:pt idx="0">
                  <c:v>30.455266436999999</c:v>
                </c:pt>
                <c:pt idx="1">
                  <c:v>47.380784685000002</c:v>
                </c:pt>
                <c:pt idx="2">
                  <c:v>87.475859247000002</c:v>
                </c:pt>
                <c:pt idx="3">
                  <c:v>38.937283653999998</c:v>
                </c:pt>
                <c:pt idx="4">
                  <c:v>6.2563153999999996E-2</c:v>
                </c:pt>
                <c:pt idx="5">
                  <c:v>0</c:v>
                </c:pt>
                <c:pt idx="6">
                  <c:v>0</c:v>
                </c:pt>
              </c:numCache>
            </c:numRef>
          </c:val>
          <c:extLst xmlns:c15="http://schemas.microsoft.com/office/drawing/2012/chart">
            <c:ext xmlns:c16="http://schemas.microsoft.com/office/drawing/2014/chart" uri="{C3380CC4-5D6E-409C-BE32-E72D297353CC}">
              <c16:uniqueId val="{00000004-A599-46FE-A7EF-06F5BB8FBDCE}"/>
            </c:ext>
          </c:extLst>
        </c:ser>
        <c:ser>
          <c:idx val="5"/>
          <c:order val="5"/>
          <c:tx>
            <c:strRef>
              <c:f>'Graphique 2'!$B$27</c:f>
              <c:strCache>
                <c:ptCount val="1"/>
                <c:pt idx="0">
                  <c:v>B.I. à 31% </c:v>
                </c:pt>
              </c:strCache>
            </c:strRef>
          </c:tx>
          <c:spPr>
            <a:solidFill>
              <a:schemeClr val="accent1">
                <a:lumMod val="75000"/>
              </a:schemeClr>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2'!$C$27:$I$27</c:f>
              <c:numCache>
                <c:formatCode>#,##0</c:formatCode>
                <c:ptCount val="7"/>
                <c:pt idx="0">
                  <c:v>0</c:v>
                </c:pt>
                <c:pt idx="1">
                  <c:v>41.537445755999997</c:v>
                </c:pt>
                <c:pt idx="2">
                  <c:v>78.466559786000005</c:v>
                </c:pt>
                <c:pt idx="3">
                  <c:v>9.4846415860000004</c:v>
                </c:pt>
                <c:pt idx="4">
                  <c:v>1.9628939000000001E-2</c:v>
                </c:pt>
                <c:pt idx="5">
                  <c:v>0</c:v>
                </c:pt>
                <c:pt idx="6">
                  <c:v>0</c:v>
                </c:pt>
              </c:numCache>
            </c:numRef>
          </c:val>
          <c:extLst>
            <c:ext xmlns:c16="http://schemas.microsoft.com/office/drawing/2014/chart" uri="{C3380CC4-5D6E-409C-BE32-E72D297353CC}">
              <c16:uniqueId val="{00000005-A599-46FE-A7EF-06F5BB8FBDCE}"/>
            </c:ext>
          </c:extLst>
        </c:ser>
        <c:ser>
          <c:idx val="6"/>
          <c:order val="6"/>
          <c:tx>
            <c:strRef>
              <c:f>'Graphique 2'!$B$28</c:f>
              <c:strCache>
                <c:ptCount val="1"/>
                <c:pt idx="0">
                  <c:v>B.I. à 33%1/3 </c:v>
                </c:pt>
              </c:strCache>
            </c:strRef>
          </c:tx>
          <c:spPr>
            <a:solidFill>
              <a:schemeClr val="accent1">
                <a:lumMod val="60000"/>
              </a:schemeClr>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2'!$C$28:$I$28</c:f>
              <c:numCache>
                <c:formatCode>#,##0</c:formatCode>
                <c:ptCount val="7"/>
                <c:pt idx="0">
                  <c:v>128.62005859600001</c:v>
                </c:pt>
                <c:pt idx="1">
                  <c:v>104.947801893</c:v>
                </c:pt>
                <c:pt idx="2">
                  <c:v>4.7706785490000003</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06-A599-46FE-A7EF-06F5BB8FBDCE}"/>
            </c:ext>
          </c:extLst>
        </c:ser>
        <c:ser>
          <c:idx val="7"/>
          <c:order val="7"/>
          <c:tx>
            <c:strRef>
              <c:f>'Graphique 2'!$B$29</c:f>
              <c:strCache>
                <c:ptCount val="1"/>
                <c:pt idx="0">
                  <c:v>Déficit </c:v>
                </c:pt>
              </c:strCache>
            </c:strRef>
          </c:tx>
          <c:spPr>
            <a:solidFill>
              <a:schemeClr val="bg2">
                <a:lumMod val="50000"/>
              </a:schemeClr>
            </a:solidFill>
            <a:ln>
              <a:noFill/>
            </a:ln>
            <a:effectLst/>
          </c:spPr>
          <c:invertIfNegative val="0"/>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2'!$C$29:$I$29</c:f>
              <c:numCache>
                <c:formatCode>#,##0</c:formatCode>
                <c:ptCount val="7"/>
                <c:pt idx="0">
                  <c:v>-65.395893444999999</c:v>
                </c:pt>
                <c:pt idx="1">
                  <c:v>-60.222763041</c:v>
                </c:pt>
                <c:pt idx="2">
                  <c:v>-100.8946</c:v>
                </c:pt>
                <c:pt idx="3">
                  <c:v>-83.062330994999996</c:v>
                </c:pt>
                <c:pt idx="4">
                  <c:v>-113.321809479</c:v>
                </c:pt>
                <c:pt idx="5">
                  <c:v>-101.806874067</c:v>
                </c:pt>
                <c:pt idx="6">
                  <c:v>-111.90742632473</c:v>
                </c:pt>
              </c:numCache>
            </c:numRef>
          </c:val>
          <c:extLst xmlns:c15="http://schemas.microsoft.com/office/drawing/2012/chart">
            <c:ext xmlns:c16="http://schemas.microsoft.com/office/drawing/2014/chart" uri="{C3380CC4-5D6E-409C-BE32-E72D297353CC}">
              <c16:uniqueId val="{00000009-A599-46FE-A7EF-06F5BB8FBDCE}"/>
            </c:ext>
          </c:extLst>
        </c:ser>
        <c:dLbls>
          <c:showLegendKey val="0"/>
          <c:showVal val="0"/>
          <c:showCatName val="0"/>
          <c:showSerName val="0"/>
          <c:showPercent val="0"/>
          <c:showBubbleSize val="0"/>
        </c:dLbls>
        <c:gapWidth val="99"/>
        <c:overlap val="100"/>
        <c:axId val="1007317439"/>
        <c:axId val="1007318687"/>
      </c:barChart>
      <c:lineChart>
        <c:grouping val="standard"/>
        <c:varyColors val="0"/>
        <c:ser>
          <c:idx val="8"/>
          <c:order val="8"/>
          <c:tx>
            <c:strRef>
              <c:f>'Graphique 2'!$B$30</c:f>
              <c:strCache>
                <c:ptCount val="1"/>
                <c:pt idx="0">
                  <c:v>Taux moyen d'imposition (axe de droite)</c:v>
                </c:pt>
              </c:strCache>
            </c:strRef>
          </c:tx>
          <c:spPr>
            <a:ln w="28575" cap="rnd">
              <a:solidFill>
                <a:schemeClr val="tx1"/>
              </a:solidFill>
              <a:round/>
            </a:ln>
            <a:effectLst/>
          </c:spPr>
          <c:marker>
            <c:symbol val="none"/>
          </c:marker>
          <c:cat>
            <c:numRef>
              <c:f>'Graphique 2'!$C$21:$I$21</c:f>
              <c:numCache>
                <c:formatCode>General</c:formatCode>
                <c:ptCount val="7"/>
                <c:pt idx="0">
                  <c:v>2018</c:v>
                </c:pt>
                <c:pt idx="1">
                  <c:v>2019</c:v>
                </c:pt>
                <c:pt idx="2">
                  <c:v>2020</c:v>
                </c:pt>
                <c:pt idx="3">
                  <c:v>2021</c:v>
                </c:pt>
                <c:pt idx="4">
                  <c:v>2022</c:v>
                </c:pt>
                <c:pt idx="5">
                  <c:v>2023</c:v>
                </c:pt>
                <c:pt idx="6">
                  <c:v>2024</c:v>
                </c:pt>
              </c:numCache>
            </c:numRef>
          </c:cat>
          <c:val>
            <c:numRef>
              <c:f>'Graphique 2'!$C$30:$I$30</c:f>
              <c:numCache>
                <c:formatCode>#,##0</c:formatCode>
                <c:ptCount val="7"/>
                <c:pt idx="0">
                  <c:v>31.085948897151411</c:v>
                </c:pt>
                <c:pt idx="1">
                  <c:v>30.145982964014951</c:v>
                </c:pt>
                <c:pt idx="2">
                  <c:v>28.1614596322054</c:v>
                </c:pt>
                <c:pt idx="3">
                  <c:v>26.423921134454552</c:v>
                </c:pt>
                <c:pt idx="4">
                  <c:v>24.642318322058372</c:v>
                </c:pt>
                <c:pt idx="5">
                  <c:v>24.311657114986261</c:v>
                </c:pt>
                <c:pt idx="6">
                  <c:v>24.256224773460765</c:v>
                </c:pt>
              </c:numCache>
            </c:numRef>
          </c:val>
          <c:smooth val="0"/>
          <c:extLst>
            <c:ext xmlns:c16="http://schemas.microsoft.com/office/drawing/2014/chart" uri="{C3380CC4-5D6E-409C-BE32-E72D297353CC}">
              <c16:uniqueId val="{00000007-A599-46FE-A7EF-06F5BB8FBDCE}"/>
            </c:ext>
          </c:extLst>
        </c:ser>
        <c:dLbls>
          <c:showLegendKey val="0"/>
          <c:showVal val="0"/>
          <c:showCatName val="0"/>
          <c:showSerName val="0"/>
          <c:showPercent val="0"/>
          <c:showBubbleSize val="0"/>
        </c:dLbls>
        <c:marker val="1"/>
        <c:smooth val="0"/>
        <c:axId val="273267519"/>
        <c:axId val="273271263"/>
      </c:lineChart>
      <c:catAx>
        <c:axId val="1007317439"/>
        <c:scaling>
          <c:orientation val="minMax"/>
        </c:scaling>
        <c:delete val="0"/>
        <c:axPos val="b"/>
        <c:numFmt formatCode="General" sourceLinked="1"/>
        <c:majorTickMark val="out"/>
        <c:minorTickMark val="out"/>
        <c:tickLblPos val="high"/>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007318687"/>
        <c:crosses val="autoZero"/>
        <c:auto val="1"/>
        <c:lblAlgn val="ctr"/>
        <c:lblOffset val="100"/>
        <c:noMultiLvlLbl val="0"/>
      </c:catAx>
      <c:valAx>
        <c:axId val="1007318687"/>
        <c:scaling>
          <c:orientation val="minMax"/>
          <c:max val="285"/>
          <c:min val="-120"/>
        </c:scaling>
        <c:delete val="0"/>
        <c:axPos val="l"/>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sz="1600"/>
                  <a:t>Md€</a:t>
                </a:r>
              </a:p>
            </c:rich>
          </c:tx>
          <c:layout>
            <c:manualLayout>
              <c:xMode val="edge"/>
              <c:yMode val="edge"/>
              <c:x val="1.0210206791076353E-2"/>
              <c:y val="1.021872265966755E-3"/>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crossAx val="1007317439"/>
        <c:crosses val="autoZero"/>
        <c:crossBetween val="between"/>
        <c:majorUnit val="40"/>
        <c:minorUnit val="5"/>
      </c:valAx>
      <c:valAx>
        <c:axId val="273271263"/>
        <c:scaling>
          <c:orientation val="minMax"/>
          <c:max val="35.700000000000003"/>
          <c:min val="-15"/>
        </c:scaling>
        <c:delete val="0"/>
        <c:axPos val="r"/>
        <c:title>
          <c:tx>
            <c:rich>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r>
                  <a:rPr lang="fr-FR" sz="1600"/>
                  <a:t>%</a:t>
                </a:r>
              </a:p>
            </c:rich>
          </c:tx>
          <c:layout>
            <c:manualLayout>
              <c:xMode val="edge"/>
              <c:yMode val="edge"/>
              <c:x val="0.95001670787589676"/>
              <c:y val="6.3082925445130172E-3"/>
            </c:manualLayout>
          </c:layout>
          <c:overlay val="0"/>
          <c:spPr>
            <a:noFill/>
            <a:ln>
              <a:noFill/>
            </a:ln>
            <a:effectLst/>
          </c:spPr>
          <c:txPr>
            <a:bodyPr rot="0" spcFirstLastPara="1" vertOverflow="ellipsis"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273267519"/>
        <c:crosses val="max"/>
        <c:crossBetween val="between"/>
        <c:majorUnit val="5"/>
        <c:minorUnit val="5"/>
      </c:valAx>
      <c:catAx>
        <c:axId val="273267519"/>
        <c:scaling>
          <c:orientation val="minMax"/>
        </c:scaling>
        <c:delete val="1"/>
        <c:axPos val="b"/>
        <c:numFmt formatCode="General" sourceLinked="1"/>
        <c:majorTickMark val="out"/>
        <c:minorTickMark val="none"/>
        <c:tickLblPos val="nextTo"/>
        <c:crossAx val="273271263"/>
        <c:crosses val="autoZero"/>
        <c:auto val="1"/>
        <c:lblAlgn val="ctr"/>
        <c:lblOffset val="100"/>
        <c:noMultiLvlLbl val="0"/>
      </c:catAx>
      <c:spPr>
        <a:noFill/>
        <a:ln>
          <a:noFill/>
        </a:ln>
        <a:effectLst/>
      </c:spPr>
    </c:plotArea>
    <c:legend>
      <c:legendPos val="b"/>
      <c:layout>
        <c:manualLayout>
          <c:xMode val="edge"/>
          <c:yMode val="edge"/>
          <c:x val="5.3804126501127189E-2"/>
          <c:y val="0.76133758955806208"/>
          <c:w val="0.94451449454571246"/>
          <c:h val="0.23866241044193801"/>
        </c:manualLayout>
      </c:layout>
      <c:overlay val="0"/>
      <c:spPr>
        <a:noFill/>
        <a:ln>
          <a:noFill/>
        </a:ln>
        <a:effectLst/>
      </c:spPr>
      <c:txPr>
        <a:bodyPr rot="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1600" b="1">
          <a:solidFill>
            <a:sysClr val="windowText" lastClr="000000"/>
          </a:solidFill>
        </a:defRPr>
      </a:pPr>
      <a:endParaRPr lang="fr-FR"/>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fr-FR" sz="1600"/>
              <a:t>Nombre d'entreprises</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6.548684279794538E-2"/>
          <c:y val="0.12913737457458968"/>
          <c:w val="0.87003587302303542"/>
          <c:h val="0.55493475994926467"/>
        </c:manualLayout>
      </c:layout>
      <c:barChart>
        <c:barDir val="col"/>
        <c:grouping val="stacked"/>
        <c:varyColors val="0"/>
        <c:ser>
          <c:idx val="3"/>
          <c:order val="0"/>
          <c:tx>
            <c:strRef>
              <c:f>'Graphique 3'!$B$26</c:f>
              <c:strCache>
                <c:ptCount val="1"/>
                <c:pt idx="0">
                  <c:v>BIC régime réel</c:v>
                </c:pt>
              </c:strCache>
            </c:strRef>
          </c:tx>
          <c:spPr>
            <a:solidFill>
              <a:schemeClr val="accent1">
                <a:lumMod val="50000"/>
              </a:schemeClr>
            </a:solidFill>
            <a:ln>
              <a:noFill/>
            </a:ln>
            <a:effectLst/>
          </c:spPr>
          <c:invertIfNegative val="0"/>
          <c:cat>
            <c:numRef>
              <c:f>'Graphique 3'!$C$25:$I$25</c:f>
              <c:numCache>
                <c:formatCode>General</c:formatCode>
                <c:ptCount val="7"/>
                <c:pt idx="0">
                  <c:v>2018</c:v>
                </c:pt>
                <c:pt idx="1">
                  <c:v>2019</c:v>
                </c:pt>
                <c:pt idx="2">
                  <c:v>2020</c:v>
                </c:pt>
                <c:pt idx="3">
                  <c:v>2021</c:v>
                </c:pt>
                <c:pt idx="4">
                  <c:v>2022</c:v>
                </c:pt>
                <c:pt idx="5">
                  <c:v>2023</c:v>
                </c:pt>
                <c:pt idx="6">
                  <c:v>2024</c:v>
                </c:pt>
              </c:numCache>
            </c:numRef>
          </c:cat>
          <c:val>
            <c:numRef>
              <c:f>'Graphique 3'!$C$26:$I$26</c:f>
              <c:numCache>
                <c:formatCode>0.00</c:formatCode>
                <c:ptCount val="7"/>
                <c:pt idx="0">
                  <c:v>0.82667000000000002</c:v>
                </c:pt>
                <c:pt idx="1">
                  <c:v>0.84961100000000001</c:v>
                </c:pt>
                <c:pt idx="2">
                  <c:v>0.88536000000000004</c:v>
                </c:pt>
                <c:pt idx="3">
                  <c:v>0.941944</c:v>
                </c:pt>
                <c:pt idx="4">
                  <c:v>1.009911</c:v>
                </c:pt>
                <c:pt idx="5">
                  <c:v>1.0773919999999999</c:v>
                </c:pt>
                <c:pt idx="6">
                  <c:v>1.1417811904370023</c:v>
                </c:pt>
              </c:numCache>
            </c:numRef>
          </c:val>
          <c:extLst>
            <c:ext xmlns:c16="http://schemas.microsoft.com/office/drawing/2014/chart" uri="{C3380CC4-5D6E-409C-BE32-E72D297353CC}">
              <c16:uniqueId val="{00000000-0D64-48BB-AB7B-0EB41A066C11}"/>
            </c:ext>
          </c:extLst>
        </c:ser>
        <c:ser>
          <c:idx val="0"/>
          <c:order val="1"/>
          <c:tx>
            <c:strRef>
              <c:f>'Graphique 3'!$B$27</c:f>
              <c:strCache>
                <c:ptCount val="1"/>
                <c:pt idx="0">
                  <c:v>BNC régime réel</c:v>
                </c:pt>
              </c:strCache>
            </c:strRef>
          </c:tx>
          <c:spPr>
            <a:solidFill>
              <a:schemeClr val="accent1">
                <a:lumMod val="60000"/>
                <a:lumOff val="40000"/>
              </a:schemeClr>
            </a:solidFill>
            <a:ln>
              <a:noFill/>
            </a:ln>
            <a:effectLst/>
          </c:spPr>
          <c:invertIfNegative val="0"/>
          <c:cat>
            <c:numRef>
              <c:f>'Graphique 3'!$C$25:$I$25</c:f>
              <c:numCache>
                <c:formatCode>General</c:formatCode>
                <c:ptCount val="7"/>
                <c:pt idx="0">
                  <c:v>2018</c:v>
                </c:pt>
                <c:pt idx="1">
                  <c:v>2019</c:v>
                </c:pt>
                <c:pt idx="2">
                  <c:v>2020</c:v>
                </c:pt>
                <c:pt idx="3">
                  <c:v>2021</c:v>
                </c:pt>
                <c:pt idx="4">
                  <c:v>2022</c:v>
                </c:pt>
                <c:pt idx="5">
                  <c:v>2023</c:v>
                </c:pt>
                <c:pt idx="6">
                  <c:v>2024</c:v>
                </c:pt>
              </c:numCache>
            </c:numRef>
          </c:cat>
          <c:val>
            <c:numRef>
              <c:f>'Graphique 3'!$C$27:$I$27</c:f>
              <c:numCache>
                <c:formatCode>0.00</c:formatCode>
                <c:ptCount val="7"/>
                <c:pt idx="0">
                  <c:v>0.58567800000000003</c:v>
                </c:pt>
                <c:pt idx="1">
                  <c:v>0.57804299999999997</c:v>
                </c:pt>
                <c:pt idx="2">
                  <c:v>0.57296999999999998</c:v>
                </c:pt>
                <c:pt idx="3">
                  <c:v>0.57526200000000005</c:v>
                </c:pt>
                <c:pt idx="4">
                  <c:v>0.57512799999999997</c:v>
                </c:pt>
                <c:pt idx="5">
                  <c:v>0.57895399999999997</c:v>
                </c:pt>
                <c:pt idx="6">
                  <c:v>0.64473966436314945</c:v>
                </c:pt>
              </c:numCache>
            </c:numRef>
          </c:val>
          <c:extLst>
            <c:ext xmlns:c16="http://schemas.microsoft.com/office/drawing/2014/chart" uri="{C3380CC4-5D6E-409C-BE32-E72D297353CC}">
              <c16:uniqueId val="{00000001-0D64-48BB-AB7B-0EB41A066C11}"/>
            </c:ext>
          </c:extLst>
        </c:ser>
        <c:ser>
          <c:idx val="4"/>
          <c:order val="2"/>
          <c:tx>
            <c:strRef>
              <c:f>'Graphique 3'!$B$28</c:f>
              <c:strCache>
                <c:ptCount val="1"/>
                <c:pt idx="0">
                  <c:v>BA régime réel</c:v>
                </c:pt>
              </c:strCache>
            </c:strRef>
          </c:tx>
          <c:spPr>
            <a:solidFill>
              <a:srgbClr val="92D050"/>
            </a:solidFill>
            <a:ln w="25400">
              <a:noFill/>
            </a:ln>
            <a:effectLst/>
          </c:spPr>
          <c:invertIfNegative val="0"/>
          <c:cat>
            <c:numRef>
              <c:f>'Graphique 3'!$C$25:$I$25</c:f>
              <c:numCache>
                <c:formatCode>General</c:formatCode>
                <c:ptCount val="7"/>
                <c:pt idx="0">
                  <c:v>2018</c:v>
                </c:pt>
                <c:pt idx="1">
                  <c:v>2019</c:v>
                </c:pt>
                <c:pt idx="2">
                  <c:v>2020</c:v>
                </c:pt>
                <c:pt idx="3">
                  <c:v>2021</c:v>
                </c:pt>
                <c:pt idx="4">
                  <c:v>2022</c:v>
                </c:pt>
                <c:pt idx="5">
                  <c:v>2023</c:v>
                </c:pt>
                <c:pt idx="6">
                  <c:v>2024</c:v>
                </c:pt>
              </c:numCache>
            </c:numRef>
          </c:cat>
          <c:val>
            <c:numRef>
              <c:f>'Graphique 3'!$C$28:$I$28</c:f>
              <c:numCache>
                <c:formatCode>0.00</c:formatCode>
                <c:ptCount val="7"/>
                <c:pt idx="0">
                  <c:v>0.26502999999999999</c:v>
                </c:pt>
                <c:pt idx="1">
                  <c:v>0.26086999999999999</c:v>
                </c:pt>
                <c:pt idx="2">
                  <c:v>0.25620999999999999</c:v>
                </c:pt>
                <c:pt idx="3">
                  <c:v>0.251967</c:v>
                </c:pt>
                <c:pt idx="4">
                  <c:v>0.248362</c:v>
                </c:pt>
                <c:pt idx="5">
                  <c:v>0.24302199999999999</c:v>
                </c:pt>
                <c:pt idx="6">
                  <c:v>0.23446569240249016</c:v>
                </c:pt>
              </c:numCache>
            </c:numRef>
          </c:val>
          <c:extLst>
            <c:ext xmlns:c16="http://schemas.microsoft.com/office/drawing/2014/chart" uri="{C3380CC4-5D6E-409C-BE32-E72D297353CC}">
              <c16:uniqueId val="{00000002-0D64-48BB-AB7B-0EB41A066C11}"/>
            </c:ext>
          </c:extLst>
        </c:ser>
        <c:ser>
          <c:idx val="5"/>
          <c:order val="3"/>
          <c:tx>
            <c:strRef>
              <c:f>'Graphique 3'!$B$29</c:f>
              <c:strCache>
                <c:ptCount val="1"/>
                <c:pt idx="0">
                  <c:v>Régime "micro" </c:v>
                </c:pt>
              </c:strCache>
            </c:strRef>
          </c:tx>
          <c:spPr>
            <a:solidFill>
              <a:schemeClr val="bg2">
                <a:lumMod val="75000"/>
              </a:schemeClr>
            </a:solidFill>
            <a:ln w="25400">
              <a:noFill/>
            </a:ln>
            <a:effectLst/>
          </c:spPr>
          <c:invertIfNegative val="0"/>
          <c:cat>
            <c:numRef>
              <c:f>'Graphique 3'!$C$25:$I$25</c:f>
              <c:numCache>
                <c:formatCode>General</c:formatCode>
                <c:ptCount val="7"/>
                <c:pt idx="0">
                  <c:v>2018</c:v>
                </c:pt>
                <c:pt idx="1">
                  <c:v>2019</c:v>
                </c:pt>
                <c:pt idx="2">
                  <c:v>2020</c:v>
                </c:pt>
                <c:pt idx="3">
                  <c:v>2021</c:v>
                </c:pt>
                <c:pt idx="4">
                  <c:v>2022</c:v>
                </c:pt>
                <c:pt idx="5">
                  <c:v>2023</c:v>
                </c:pt>
                <c:pt idx="6">
                  <c:v>2024</c:v>
                </c:pt>
              </c:numCache>
            </c:numRef>
          </c:cat>
          <c:val>
            <c:numRef>
              <c:f>'Graphique 3'!$C$29:$I$29</c:f>
              <c:numCache>
                <c:formatCode>0.00</c:formatCode>
                <c:ptCount val="7"/>
                <c:pt idx="0">
                  <c:v>1.7094259999999999</c:v>
                </c:pt>
                <c:pt idx="1">
                  <c:v>1.9071579999999999</c:v>
                </c:pt>
                <c:pt idx="2">
                  <c:v>2.0311020000000002</c:v>
                </c:pt>
                <c:pt idx="3">
                  <c:v>2.2111429999999999</c:v>
                </c:pt>
                <c:pt idx="4">
                  <c:v>2.4199329999999999</c:v>
                </c:pt>
                <c:pt idx="5">
                  <c:v>2.5392709999999994</c:v>
                </c:pt>
                <c:pt idx="6">
                  <c:v>2.7192003547365227</c:v>
                </c:pt>
              </c:numCache>
            </c:numRef>
          </c:val>
          <c:extLst>
            <c:ext xmlns:c16="http://schemas.microsoft.com/office/drawing/2014/chart" uri="{C3380CC4-5D6E-409C-BE32-E72D297353CC}">
              <c16:uniqueId val="{00000003-0D64-48BB-AB7B-0EB41A066C11}"/>
            </c:ext>
          </c:extLst>
        </c:ser>
        <c:dLbls>
          <c:showLegendKey val="0"/>
          <c:showVal val="0"/>
          <c:showCatName val="0"/>
          <c:showSerName val="0"/>
          <c:showPercent val="0"/>
          <c:showBubbleSize val="0"/>
        </c:dLbls>
        <c:gapWidth val="90"/>
        <c:overlap val="100"/>
        <c:axId val="763800847"/>
        <c:axId val="763802095"/>
      </c:barChart>
      <c:catAx>
        <c:axId val="763800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2095"/>
        <c:crosses val="autoZero"/>
        <c:auto val="1"/>
        <c:lblAlgn val="ctr"/>
        <c:lblOffset val="100"/>
        <c:noMultiLvlLbl val="0"/>
      </c:catAx>
      <c:valAx>
        <c:axId val="763802095"/>
        <c:scaling>
          <c:orientation val="minMax"/>
          <c:max val="5"/>
          <c:min val="0"/>
        </c:scaling>
        <c:delete val="0"/>
        <c:axPos val="l"/>
        <c:majorGridlines>
          <c:spPr>
            <a:ln w="9525" cap="flat" cmpd="sng" algn="ctr">
              <a:noFill/>
              <a:round/>
            </a:ln>
            <a:effectLst/>
          </c:spPr>
        </c:majorGridlines>
        <c:title>
          <c:tx>
            <c:rich>
              <a:bodyPr rot="0" spcFirstLastPara="1" vertOverflow="ellipsis" wrap="square" anchor="ctr" anchorCtr="1"/>
              <a:lstStyle/>
              <a:p>
                <a:pPr algn="l">
                  <a:defRPr sz="1400" b="1" i="0" u="none" strike="noStrike" kern="1200" baseline="0">
                    <a:solidFill>
                      <a:sysClr val="windowText" lastClr="000000"/>
                    </a:solidFill>
                    <a:latin typeface="+mn-lt"/>
                    <a:ea typeface="+mn-ea"/>
                    <a:cs typeface="+mn-cs"/>
                  </a:defRPr>
                </a:pPr>
                <a:r>
                  <a:rPr lang="en-US" sz="1400"/>
                  <a:t>Millions</a:t>
                </a:r>
              </a:p>
            </c:rich>
          </c:tx>
          <c:layout>
            <c:manualLayout>
              <c:xMode val="edge"/>
              <c:yMode val="edge"/>
              <c:x val="1.4100647250756835E-3"/>
              <c:y val="1.3814435516849083E-3"/>
            </c:manualLayout>
          </c:layout>
          <c:overlay val="0"/>
          <c:spPr>
            <a:noFill/>
            <a:ln>
              <a:noFill/>
            </a:ln>
            <a:effectLst/>
          </c:spPr>
          <c:txPr>
            <a:bodyPr rot="0" spcFirstLastPara="1" vertOverflow="ellipsis" wrap="square" anchor="ctr" anchorCtr="1"/>
            <a:lstStyle/>
            <a:p>
              <a:pPr algn="l">
                <a:defRPr sz="14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0847"/>
        <c:crosses val="autoZero"/>
        <c:crossBetween val="between"/>
        <c:majorUnit val="1"/>
      </c:valAx>
      <c:spPr>
        <a:noFill/>
        <a:ln>
          <a:noFill/>
        </a:ln>
        <a:effectLst/>
      </c:spPr>
    </c:plotArea>
    <c:legend>
      <c:legendPos val="r"/>
      <c:layout>
        <c:manualLayout>
          <c:xMode val="edge"/>
          <c:yMode val="edge"/>
          <c:x val="0"/>
          <c:y val="0.8148440894648934"/>
          <c:w val="0.98584689413823268"/>
          <c:h val="0.18515591053510655"/>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2000" b="1">
          <a:solidFill>
            <a:sysClr val="windowText" lastClr="000000"/>
          </a:solidFill>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fr-FR" sz="1600"/>
              <a:t>Résultat des entreprises</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6.548684279794538E-2"/>
          <c:y val="0.12913737457458968"/>
          <c:w val="0.87003587302303542"/>
          <c:h val="0.55493475994926467"/>
        </c:manualLayout>
      </c:layout>
      <c:barChart>
        <c:barDir val="col"/>
        <c:grouping val="stacked"/>
        <c:varyColors val="0"/>
        <c:ser>
          <c:idx val="3"/>
          <c:order val="0"/>
          <c:tx>
            <c:strRef>
              <c:f>'Graphique 3'!$B$32</c:f>
              <c:strCache>
                <c:ptCount val="1"/>
                <c:pt idx="0">
                  <c:v>BIC régime réel</c:v>
                </c:pt>
              </c:strCache>
            </c:strRef>
          </c:tx>
          <c:spPr>
            <a:solidFill>
              <a:schemeClr val="accent1">
                <a:lumMod val="50000"/>
              </a:schemeClr>
            </a:solidFill>
            <a:ln>
              <a:noFill/>
            </a:ln>
            <a:effectLst/>
          </c:spPr>
          <c:invertIfNegative val="0"/>
          <c:cat>
            <c:numRef>
              <c:f>'Graphique 3'!$C$31:$I$31</c:f>
              <c:numCache>
                <c:formatCode>General</c:formatCode>
                <c:ptCount val="7"/>
                <c:pt idx="0">
                  <c:v>2018</c:v>
                </c:pt>
                <c:pt idx="1">
                  <c:v>2019</c:v>
                </c:pt>
                <c:pt idx="2">
                  <c:v>2020</c:v>
                </c:pt>
                <c:pt idx="3">
                  <c:v>2021</c:v>
                </c:pt>
                <c:pt idx="4">
                  <c:v>2022</c:v>
                </c:pt>
                <c:pt idx="5">
                  <c:v>2023</c:v>
                </c:pt>
                <c:pt idx="6">
                  <c:v>2024</c:v>
                </c:pt>
              </c:numCache>
            </c:numRef>
          </c:cat>
          <c:val>
            <c:numRef>
              <c:f>'Graphique 3'!$C$32:$I$32</c:f>
              <c:numCache>
                <c:formatCode>0.0</c:formatCode>
                <c:ptCount val="7"/>
                <c:pt idx="0">
                  <c:v>20.023164137999999</c:v>
                </c:pt>
                <c:pt idx="1">
                  <c:v>20.057072293000001</c:v>
                </c:pt>
                <c:pt idx="2">
                  <c:v>16.299723160999999</c:v>
                </c:pt>
                <c:pt idx="3">
                  <c:v>16.977599523999999</c:v>
                </c:pt>
                <c:pt idx="4">
                  <c:v>18.707807312</c:v>
                </c:pt>
                <c:pt idx="5">
                  <c:v>14.991510024</c:v>
                </c:pt>
                <c:pt idx="6">
                  <c:v>13.237338090087276</c:v>
                </c:pt>
              </c:numCache>
            </c:numRef>
          </c:val>
          <c:extLst>
            <c:ext xmlns:c16="http://schemas.microsoft.com/office/drawing/2014/chart" uri="{C3380CC4-5D6E-409C-BE32-E72D297353CC}">
              <c16:uniqueId val="{00000000-9C91-4EA5-A113-19DD5CB50F9B}"/>
            </c:ext>
          </c:extLst>
        </c:ser>
        <c:ser>
          <c:idx val="0"/>
          <c:order val="1"/>
          <c:tx>
            <c:strRef>
              <c:f>'Graphique 3'!$B$33</c:f>
              <c:strCache>
                <c:ptCount val="1"/>
                <c:pt idx="0">
                  <c:v>BNC régime réel</c:v>
                </c:pt>
              </c:strCache>
            </c:strRef>
          </c:tx>
          <c:spPr>
            <a:solidFill>
              <a:schemeClr val="accent1">
                <a:lumMod val="60000"/>
                <a:lumOff val="40000"/>
              </a:schemeClr>
            </a:solidFill>
            <a:ln>
              <a:noFill/>
            </a:ln>
            <a:effectLst/>
          </c:spPr>
          <c:invertIfNegative val="0"/>
          <c:cat>
            <c:numRef>
              <c:f>'Graphique 3'!$C$31:$I$31</c:f>
              <c:numCache>
                <c:formatCode>General</c:formatCode>
                <c:ptCount val="7"/>
                <c:pt idx="0">
                  <c:v>2018</c:v>
                </c:pt>
                <c:pt idx="1">
                  <c:v>2019</c:v>
                </c:pt>
                <c:pt idx="2">
                  <c:v>2020</c:v>
                </c:pt>
                <c:pt idx="3">
                  <c:v>2021</c:v>
                </c:pt>
                <c:pt idx="4">
                  <c:v>2022</c:v>
                </c:pt>
                <c:pt idx="5">
                  <c:v>2023</c:v>
                </c:pt>
                <c:pt idx="6">
                  <c:v>2024</c:v>
                </c:pt>
              </c:numCache>
            </c:numRef>
          </c:cat>
          <c:val>
            <c:numRef>
              <c:f>'Graphique 3'!$C$33:$I$33</c:f>
              <c:numCache>
                <c:formatCode>0.0</c:formatCode>
                <c:ptCount val="7"/>
                <c:pt idx="0">
                  <c:v>35.920409583999998</c:v>
                </c:pt>
                <c:pt idx="1">
                  <c:v>35.108529924000003</c:v>
                </c:pt>
                <c:pt idx="2">
                  <c:v>33.258732629000001</c:v>
                </c:pt>
                <c:pt idx="3">
                  <c:v>36.157538934999998</c:v>
                </c:pt>
                <c:pt idx="4">
                  <c:v>34.635131899999998</c:v>
                </c:pt>
                <c:pt idx="5">
                  <c:v>34.170191312999997</c:v>
                </c:pt>
                <c:pt idx="6">
                  <c:v>41.279193265430258</c:v>
                </c:pt>
              </c:numCache>
            </c:numRef>
          </c:val>
          <c:extLst>
            <c:ext xmlns:c16="http://schemas.microsoft.com/office/drawing/2014/chart" uri="{C3380CC4-5D6E-409C-BE32-E72D297353CC}">
              <c16:uniqueId val="{00000001-9C91-4EA5-A113-19DD5CB50F9B}"/>
            </c:ext>
          </c:extLst>
        </c:ser>
        <c:ser>
          <c:idx val="4"/>
          <c:order val="2"/>
          <c:tx>
            <c:strRef>
              <c:f>'Graphique 3'!$B$34</c:f>
              <c:strCache>
                <c:ptCount val="1"/>
                <c:pt idx="0">
                  <c:v>BA régime réel</c:v>
                </c:pt>
              </c:strCache>
            </c:strRef>
          </c:tx>
          <c:spPr>
            <a:solidFill>
              <a:srgbClr val="92D050"/>
            </a:solidFill>
            <a:ln>
              <a:noFill/>
            </a:ln>
            <a:effectLst/>
          </c:spPr>
          <c:invertIfNegative val="0"/>
          <c:cat>
            <c:numRef>
              <c:f>'Graphique 3'!$C$31:$I$31</c:f>
              <c:numCache>
                <c:formatCode>General</c:formatCode>
                <c:ptCount val="7"/>
                <c:pt idx="0">
                  <c:v>2018</c:v>
                </c:pt>
                <c:pt idx="1">
                  <c:v>2019</c:v>
                </c:pt>
                <c:pt idx="2">
                  <c:v>2020</c:v>
                </c:pt>
                <c:pt idx="3">
                  <c:v>2021</c:v>
                </c:pt>
                <c:pt idx="4">
                  <c:v>2022</c:v>
                </c:pt>
                <c:pt idx="5">
                  <c:v>2023</c:v>
                </c:pt>
                <c:pt idx="6">
                  <c:v>2024</c:v>
                </c:pt>
              </c:numCache>
            </c:numRef>
          </c:cat>
          <c:val>
            <c:numRef>
              <c:f>'Graphique 3'!$C$34:$I$34</c:f>
              <c:numCache>
                <c:formatCode>0.0</c:formatCode>
                <c:ptCount val="7"/>
                <c:pt idx="0">
                  <c:v>10.166854592</c:v>
                </c:pt>
                <c:pt idx="1">
                  <c:v>9.7897467989999996</c:v>
                </c:pt>
                <c:pt idx="2">
                  <c:v>9.5328398500000002</c:v>
                </c:pt>
                <c:pt idx="3">
                  <c:v>10.633505803</c:v>
                </c:pt>
                <c:pt idx="4">
                  <c:v>14.961729688</c:v>
                </c:pt>
                <c:pt idx="5">
                  <c:v>14.904794694</c:v>
                </c:pt>
                <c:pt idx="6">
                  <c:v>10.58775923255053</c:v>
                </c:pt>
              </c:numCache>
            </c:numRef>
          </c:val>
          <c:extLst>
            <c:ext xmlns:c16="http://schemas.microsoft.com/office/drawing/2014/chart" uri="{C3380CC4-5D6E-409C-BE32-E72D297353CC}">
              <c16:uniqueId val="{00000002-9C91-4EA5-A113-19DD5CB50F9B}"/>
            </c:ext>
          </c:extLst>
        </c:ser>
        <c:ser>
          <c:idx val="5"/>
          <c:order val="3"/>
          <c:tx>
            <c:strRef>
              <c:f>'Graphique 3'!$B$35</c:f>
              <c:strCache>
                <c:ptCount val="1"/>
                <c:pt idx="0">
                  <c:v>Régime "micro" </c:v>
                </c:pt>
              </c:strCache>
            </c:strRef>
          </c:tx>
          <c:spPr>
            <a:solidFill>
              <a:schemeClr val="bg2">
                <a:lumMod val="75000"/>
              </a:schemeClr>
            </a:solidFill>
            <a:ln>
              <a:noFill/>
            </a:ln>
            <a:effectLst/>
          </c:spPr>
          <c:invertIfNegative val="0"/>
          <c:cat>
            <c:numRef>
              <c:f>'Graphique 3'!$C$31:$I$31</c:f>
              <c:numCache>
                <c:formatCode>General</c:formatCode>
                <c:ptCount val="7"/>
                <c:pt idx="0">
                  <c:v>2018</c:v>
                </c:pt>
                <c:pt idx="1">
                  <c:v>2019</c:v>
                </c:pt>
                <c:pt idx="2">
                  <c:v>2020</c:v>
                </c:pt>
                <c:pt idx="3">
                  <c:v>2021</c:v>
                </c:pt>
                <c:pt idx="4">
                  <c:v>2022</c:v>
                </c:pt>
                <c:pt idx="5">
                  <c:v>2023</c:v>
                </c:pt>
                <c:pt idx="6">
                  <c:v>2024</c:v>
                </c:pt>
              </c:numCache>
            </c:numRef>
          </c:cat>
          <c:val>
            <c:numRef>
              <c:f>'Graphique 3'!$C$35:$I$35</c:f>
              <c:numCache>
                <c:formatCode>0.0</c:formatCode>
                <c:ptCount val="7"/>
                <c:pt idx="0">
                  <c:v>10.695622704</c:v>
                </c:pt>
                <c:pt idx="1">
                  <c:v>12.824697194000001</c:v>
                </c:pt>
                <c:pt idx="2">
                  <c:v>13.016829956</c:v>
                </c:pt>
                <c:pt idx="3">
                  <c:v>16.301886694</c:v>
                </c:pt>
                <c:pt idx="4">
                  <c:v>18.880811916999999</c:v>
                </c:pt>
                <c:pt idx="5">
                  <c:v>20.362772488944866</c:v>
                </c:pt>
                <c:pt idx="6">
                  <c:v>22.529370403022035</c:v>
                </c:pt>
              </c:numCache>
            </c:numRef>
          </c:val>
          <c:extLst>
            <c:ext xmlns:c16="http://schemas.microsoft.com/office/drawing/2014/chart" uri="{C3380CC4-5D6E-409C-BE32-E72D297353CC}">
              <c16:uniqueId val="{00000003-9C91-4EA5-A113-19DD5CB50F9B}"/>
            </c:ext>
          </c:extLst>
        </c:ser>
        <c:dLbls>
          <c:showLegendKey val="0"/>
          <c:showVal val="0"/>
          <c:showCatName val="0"/>
          <c:showSerName val="0"/>
          <c:showPercent val="0"/>
          <c:showBubbleSize val="0"/>
        </c:dLbls>
        <c:gapWidth val="90"/>
        <c:overlap val="100"/>
        <c:axId val="763800847"/>
        <c:axId val="763802095"/>
      </c:barChart>
      <c:catAx>
        <c:axId val="7638008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2095"/>
        <c:crosses val="autoZero"/>
        <c:auto val="1"/>
        <c:lblAlgn val="ctr"/>
        <c:lblOffset val="100"/>
        <c:noMultiLvlLbl val="0"/>
      </c:catAx>
      <c:valAx>
        <c:axId val="763802095"/>
        <c:scaling>
          <c:orientation val="minMax"/>
          <c:max val="90"/>
          <c:min val="0"/>
        </c:scaling>
        <c:delete val="0"/>
        <c:axPos val="l"/>
        <c:majorGridlines>
          <c:spPr>
            <a:ln w="9525" cap="flat" cmpd="sng" algn="ctr">
              <a:noFill/>
              <a:round/>
            </a:ln>
            <a:effectLst/>
          </c:spPr>
        </c:majorGridlines>
        <c:title>
          <c:tx>
            <c:rich>
              <a:bodyPr rot="0" spcFirstLastPara="1" vertOverflow="ellipsis" wrap="square" anchor="ctr" anchorCtr="1"/>
              <a:lstStyle/>
              <a:p>
                <a:pPr algn="l">
                  <a:defRPr sz="1400" b="1" i="0" u="none" strike="noStrike" kern="1200" baseline="0">
                    <a:solidFill>
                      <a:sysClr val="windowText" lastClr="000000"/>
                    </a:solidFill>
                    <a:latin typeface="+mn-lt"/>
                    <a:ea typeface="+mn-ea"/>
                    <a:cs typeface="+mn-cs"/>
                  </a:defRPr>
                </a:pPr>
                <a:r>
                  <a:rPr lang="en-US" sz="1400"/>
                  <a:t>Millions</a:t>
                </a:r>
              </a:p>
            </c:rich>
          </c:tx>
          <c:layout>
            <c:manualLayout>
              <c:xMode val="edge"/>
              <c:yMode val="edge"/>
              <c:x val="1.4100647250756835E-3"/>
              <c:y val="1.3814435516849083E-3"/>
            </c:manualLayout>
          </c:layout>
          <c:overlay val="0"/>
          <c:spPr>
            <a:noFill/>
            <a:ln>
              <a:noFill/>
            </a:ln>
            <a:effectLst/>
          </c:spPr>
          <c:txPr>
            <a:bodyPr rot="0" spcFirstLastPara="1" vertOverflow="ellipsis" wrap="square" anchor="ctr" anchorCtr="1"/>
            <a:lstStyle/>
            <a:p>
              <a:pPr algn="l">
                <a:defRPr sz="1400" b="1" i="0" u="none" strike="noStrike" kern="1200" baseline="0">
                  <a:solidFill>
                    <a:sysClr val="windowText" lastClr="000000"/>
                  </a:solidFill>
                  <a:latin typeface="+mn-lt"/>
                  <a:ea typeface="+mn-ea"/>
                  <a:cs typeface="+mn-cs"/>
                </a:defRPr>
              </a:pPr>
              <a:endParaRPr lang="fr-FR"/>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763800847"/>
        <c:crosses val="autoZero"/>
        <c:crossBetween val="between"/>
        <c:majorUnit val="10"/>
      </c:valAx>
      <c:spPr>
        <a:noFill/>
        <a:ln>
          <a:noFill/>
        </a:ln>
        <a:effectLst/>
      </c:spPr>
    </c:plotArea>
    <c:legend>
      <c:legendPos val="r"/>
      <c:layout>
        <c:manualLayout>
          <c:xMode val="edge"/>
          <c:yMode val="edge"/>
          <c:x val="0"/>
          <c:y val="0.8148440894648934"/>
          <c:w val="0.98584689413823268"/>
          <c:h val="0.18515591053510655"/>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sz="2000" b="1">
          <a:solidFill>
            <a:sysClr val="windowText" lastClr="000000"/>
          </a:solidFill>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104775</xdr:colOff>
      <xdr:row>1</xdr:row>
      <xdr:rowOff>152400</xdr:rowOff>
    </xdr:from>
    <xdr:to>
      <xdr:col>13</xdr:col>
      <xdr:colOff>47625</xdr:colOff>
      <xdr:row>22</xdr:row>
      <xdr:rowOff>19049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xdr:row>
      <xdr:rowOff>0</xdr:rowOff>
    </xdr:from>
    <xdr:to>
      <xdr:col>5</xdr:col>
      <xdr:colOff>647700</xdr:colOff>
      <xdr:row>22</xdr:row>
      <xdr:rowOff>57149</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292100</xdr:colOff>
      <xdr:row>13</xdr:row>
      <xdr:rowOff>0</xdr:rowOff>
    </xdr:from>
    <xdr:to>
      <xdr:col>4</xdr:col>
      <xdr:colOff>762000</xdr:colOff>
      <xdr:row>15</xdr:row>
      <xdr:rowOff>139700</xdr:rowOff>
    </xdr:to>
    <xdr:sp macro="" textlink="">
      <xdr:nvSpPr>
        <xdr:cNvPr id="9" name="Rectangle 8"/>
        <xdr:cNvSpPr/>
      </xdr:nvSpPr>
      <xdr:spPr>
        <a:xfrm>
          <a:off x="8839200" y="3543300"/>
          <a:ext cx="469900" cy="10795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142876</xdr:colOff>
      <xdr:row>1</xdr:row>
      <xdr:rowOff>19050</xdr:rowOff>
    </xdr:from>
    <xdr:to>
      <xdr:col>6</xdr:col>
      <xdr:colOff>104775</xdr:colOff>
      <xdr:row>16</xdr:row>
      <xdr:rowOff>285750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0.91856</cdr:x>
      <cdr:y>0.57735</cdr:y>
    </cdr:from>
    <cdr:to>
      <cdr:x>0.98861</cdr:x>
      <cdr:y>0.78226</cdr:y>
    </cdr:to>
    <cdr:sp macro="" textlink="">
      <cdr:nvSpPr>
        <cdr:cNvPr id="2" name="Rectangle 1"/>
        <cdr:cNvSpPr/>
      </cdr:nvSpPr>
      <cdr:spPr>
        <a:xfrm xmlns:a="http://schemas.openxmlformats.org/drawingml/2006/main">
          <a:off x="7078200" y="3129093"/>
          <a:ext cx="539786" cy="1110556"/>
        </a:xfrm>
        <a:prstGeom xmlns:a="http://schemas.openxmlformats.org/drawingml/2006/main" prst="rect">
          <a:avLst/>
        </a:prstGeom>
        <a:ln xmlns:a="http://schemas.openxmlformats.org/drawingml/2006/main">
          <a:solidFill>
            <a:schemeClr val="bg1"/>
          </a:solidFill>
        </a:l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1</xdr:row>
      <xdr:rowOff>1</xdr:rowOff>
    </xdr:from>
    <xdr:to>
      <xdr:col>5</xdr:col>
      <xdr:colOff>142875</xdr:colOff>
      <xdr:row>21</xdr:row>
      <xdr:rowOff>171451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13</xdr:col>
      <xdr:colOff>571500</xdr:colOff>
      <xdr:row>21</xdr:row>
      <xdr:rowOff>171450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showGridLines="0" workbookViewId="0">
      <selection activeCell="I23" sqref="I23"/>
    </sheetView>
  </sheetViews>
  <sheetFormatPr baseColWidth="10" defaultRowHeight="15" x14ac:dyDescent="0.25"/>
  <cols>
    <col min="9" max="9" width="78.85546875" customWidth="1"/>
  </cols>
  <sheetData>
    <row r="1" spans="1:9" ht="33" customHeight="1" x14ac:dyDescent="0.25">
      <c r="A1" s="81" t="s">
        <v>67</v>
      </c>
      <c r="B1" s="82"/>
      <c r="C1" s="82"/>
      <c r="D1" s="82"/>
      <c r="E1" s="82"/>
      <c r="F1" s="82"/>
      <c r="G1" s="82"/>
      <c r="H1" s="82"/>
      <c r="I1" s="83"/>
    </row>
    <row r="2" spans="1:9" ht="15.75" x14ac:dyDescent="0.25">
      <c r="A2" s="84" t="s">
        <v>68</v>
      </c>
      <c r="B2" s="84"/>
      <c r="C2" s="84"/>
      <c r="D2" s="84"/>
      <c r="E2" s="84"/>
      <c r="F2" s="84"/>
      <c r="G2" s="84"/>
      <c r="H2" s="84"/>
      <c r="I2" s="84"/>
    </row>
    <row r="3" spans="1:9" x14ac:dyDescent="0.25">
      <c r="A3" s="85"/>
      <c r="B3" s="85"/>
      <c r="C3" s="85"/>
      <c r="D3" s="85"/>
      <c r="E3" s="85"/>
      <c r="F3" s="85"/>
      <c r="G3" s="85"/>
      <c r="H3" s="85"/>
      <c r="I3" s="85"/>
    </row>
    <row r="4" spans="1:9" x14ac:dyDescent="0.25">
      <c r="A4" s="86" t="s">
        <v>0</v>
      </c>
      <c r="B4" s="86"/>
      <c r="C4" s="86"/>
      <c r="D4" s="86"/>
      <c r="E4" s="86"/>
      <c r="F4" s="86"/>
      <c r="G4" s="86"/>
      <c r="H4" s="86"/>
      <c r="I4" s="86"/>
    </row>
    <row r="5" spans="1:9" ht="24" customHeight="1" x14ac:dyDescent="0.25">
      <c r="A5" s="87" t="s">
        <v>69</v>
      </c>
      <c r="B5" s="87"/>
      <c r="C5" s="87"/>
      <c r="D5" s="87"/>
      <c r="E5" s="87"/>
      <c r="F5" s="87"/>
      <c r="G5" s="87"/>
      <c r="H5" s="87"/>
      <c r="I5" s="87"/>
    </row>
    <row r="6" spans="1:9" x14ac:dyDescent="0.25">
      <c r="A6" s="80" t="s">
        <v>1</v>
      </c>
      <c r="B6" s="80"/>
      <c r="C6" s="80"/>
      <c r="D6" s="80"/>
      <c r="E6" s="80"/>
      <c r="F6" s="80"/>
      <c r="G6" s="80"/>
      <c r="H6" s="80"/>
      <c r="I6" s="80"/>
    </row>
    <row r="7" spans="1:9" ht="48.75" customHeight="1" x14ac:dyDescent="0.25">
      <c r="A7" s="87" t="s">
        <v>70</v>
      </c>
      <c r="B7" s="87"/>
      <c r="C7" s="87"/>
      <c r="D7" s="87"/>
      <c r="E7" s="87"/>
      <c r="F7" s="87"/>
      <c r="G7" s="87"/>
      <c r="H7" s="87"/>
      <c r="I7" s="87"/>
    </row>
    <row r="8" spans="1:9" x14ac:dyDescent="0.25">
      <c r="A8" s="86" t="s">
        <v>2</v>
      </c>
      <c r="B8" s="86"/>
      <c r="C8" s="86"/>
      <c r="D8" s="86"/>
      <c r="E8" s="86"/>
      <c r="F8" s="86"/>
      <c r="G8" s="86"/>
      <c r="H8" s="86"/>
      <c r="I8" s="86"/>
    </row>
    <row r="9" spans="1:9" x14ac:dyDescent="0.25">
      <c r="A9" s="90" t="s">
        <v>16</v>
      </c>
      <c r="B9" s="90"/>
      <c r="C9" s="90"/>
      <c r="D9" s="90"/>
      <c r="E9" s="90"/>
      <c r="F9" s="90"/>
      <c r="G9" s="90"/>
      <c r="H9" s="90"/>
      <c r="I9" s="90"/>
    </row>
    <row r="10" spans="1:9" x14ac:dyDescent="0.25">
      <c r="A10" s="88" t="s">
        <v>65</v>
      </c>
      <c r="B10" s="88"/>
      <c r="C10" s="88"/>
      <c r="D10" s="88"/>
      <c r="E10" s="88"/>
      <c r="F10" s="88"/>
      <c r="G10" s="88"/>
      <c r="H10" s="88"/>
      <c r="I10" s="88"/>
    </row>
    <row r="11" spans="1:9" x14ac:dyDescent="0.25">
      <c r="A11" s="88" t="s">
        <v>78</v>
      </c>
      <c r="B11" s="88"/>
      <c r="C11" s="88"/>
      <c r="D11" s="88"/>
      <c r="E11" s="88"/>
      <c r="F11" s="88"/>
      <c r="G11" s="88"/>
      <c r="H11" s="88"/>
      <c r="I11" s="88"/>
    </row>
    <row r="12" spans="1:9" ht="15" customHeight="1" x14ac:dyDescent="0.25">
      <c r="A12" s="88" t="s">
        <v>77</v>
      </c>
      <c r="B12" s="88"/>
      <c r="C12" s="88"/>
      <c r="D12" s="88"/>
      <c r="E12" s="88"/>
      <c r="F12" s="88"/>
      <c r="G12" s="88"/>
      <c r="H12" s="88"/>
      <c r="I12" s="88"/>
    </row>
    <row r="13" spans="1:9" x14ac:dyDescent="0.25">
      <c r="A13" s="88" t="s">
        <v>66</v>
      </c>
      <c r="B13" s="88"/>
      <c r="C13" s="88"/>
      <c r="D13" s="88"/>
      <c r="E13" s="88"/>
      <c r="F13" s="88"/>
      <c r="G13" s="88"/>
      <c r="H13" s="88"/>
      <c r="I13" s="88"/>
    </row>
    <row r="14" spans="1:9" ht="15" customHeight="1" x14ac:dyDescent="0.25">
      <c r="A14" s="88" t="s">
        <v>76</v>
      </c>
      <c r="B14" s="88"/>
      <c r="C14" s="88"/>
      <c r="D14" s="88"/>
      <c r="E14" s="88"/>
      <c r="F14" s="88"/>
      <c r="G14" s="88"/>
      <c r="H14" s="88"/>
      <c r="I14" s="88"/>
    </row>
    <row r="15" spans="1:9" x14ac:dyDescent="0.25">
      <c r="A15" s="90"/>
      <c r="B15" s="90"/>
      <c r="C15" s="90"/>
      <c r="D15" s="90"/>
      <c r="E15" s="90"/>
      <c r="F15" s="90"/>
      <c r="G15" s="90"/>
      <c r="H15" s="90"/>
      <c r="I15" s="90"/>
    </row>
    <row r="16" spans="1:9" x14ac:dyDescent="0.25">
      <c r="A16" s="89" t="s">
        <v>3</v>
      </c>
      <c r="B16" s="89"/>
      <c r="C16" s="89"/>
      <c r="D16" s="89"/>
      <c r="E16" s="89"/>
      <c r="F16" s="89"/>
      <c r="G16" s="89"/>
      <c r="H16" s="89"/>
      <c r="I16" s="89"/>
    </row>
  </sheetData>
  <mergeCells count="16">
    <mergeCell ref="A10:I10"/>
    <mergeCell ref="A16:I16"/>
    <mergeCell ref="A7:I7"/>
    <mergeCell ref="A8:I8"/>
    <mergeCell ref="A9:I9"/>
    <mergeCell ref="A13:I13"/>
    <mergeCell ref="A15:I15"/>
    <mergeCell ref="A14:I14"/>
    <mergeCell ref="A12:I12"/>
    <mergeCell ref="A11:I11"/>
    <mergeCell ref="A6:I6"/>
    <mergeCell ref="A1:I1"/>
    <mergeCell ref="A2:I2"/>
    <mergeCell ref="A3:I3"/>
    <mergeCell ref="A4:I4"/>
    <mergeCell ref="A5:I5"/>
  </mergeCells>
  <hyperlinks>
    <hyperlink ref="A9" location="'Graphique 1'!A1" display="Graphique 1 : Nombre de foyers « IFI » en 2020 et IFI médian par foyer, par tranche de patrimoine"/>
    <hyperlink ref="A9:I9" location="'Graphique 1'!A1" display="Graphique 1 : Nombre de foyers « IFI » en 2020 et IFI médian par foyer, par tranche de patrimoine immobilier imposable"/>
    <hyperlink ref="A10:I10" location="'Graphique 2'!A1" display="Graphique 2 : Recettes nettes de TVA prévues en l'absence de la pandémie de covid-19 et constatées, hors accélération des remboursements, en milliards d'euros en 2020"/>
    <hyperlink ref="A12" location="'Tableau 2'!A1" display="Tableau 2 : Chiffre d’affaires par type de déclaration pour les années 2019 et 2020 et leur évolution"/>
    <hyperlink ref="A14" location="'Tableau 3'!A1" display="Tableau 3. Réductions et crédits d’impôt accordés aux entreprises en 2019 et 2020"/>
    <hyperlink ref="A13:I13" location="'Graphique 3'!A1" display="Graphique 3 : Résultats et nombre des entreprises imposées à l’IR par régime d’imposition pour les années 2015 à 2020 "/>
    <hyperlink ref="A11" location="'Tableau 1'!A1" display="Tableau 1 : Répartition du résultat des entreprises imposées à l'IS par secteurs d'activités en 2020 et leur variation entre 2019 et 202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4"/>
  <sheetViews>
    <sheetView showGridLines="0" zoomScaleNormal="100" workbookViewId="0">
      <selection activeCell="N30" sqref="N30"/>
    </sheetView>
  </sheetViews>
  <sheetFormatPr baseColWidth="10" defaultRowHeight="15" x14ac:dyDescent="0.25"/>
  <cols>
    <col min="1" max="1" width="1.7109375" customWidth="1"/>
    <col min="2" max="2" width="39" customWidth="1"/>
    <col min="3" max="12" width="12.7109375" customWidth="1"/>
  </cols>
  <sheetData>
    <row r="1" spans="2:2" ht="18.75" x14ac:dyDescent="0.3">
      <c r="B1" s="11" t="s">
        <v>16</v>
      </c>
    </row>
    <row r="23" spans="2:13" x14ac:dyDescent="0.25">
      <c r="B23" s="12" t="s">
        <v>17</v>
      </c>
    </row>
    <row r="24" spans="2:13" x14ac:dyDescent="0.25">
      <c r="B24" s="12"/>
    </row>
    <row r="25" spans="2:13" x14ac:dyDescent="0.25">
      <c r="B25" s="76" t="s">
        <v>80</v>
      </c>
      <c r="C25" s="43">
        <v>2018</v>
      </c>
      <c r="D25" s="43">
        <v>2019</v>
      </c>
      <c r="E25" s="43">
        <v>2020</v>
      </c>
      <c r="F25" s="43">
        <v>2021</v>
      </c>
      <c r="G25" s="43">
        <v>2022</v>
      </c>
      <c r="H25" s="43">
        <v>2023</v>
      </c>
      <c r="I25" s="43">
        <v>2024</v>
      </c>
    </row>
    <row r="26" spans="2:13" x14ac:dyDescent="0.25">
      <c r="B26" s="43" t="s">
        <v>15</v>
      </c>
      <c r="C26" s="45">
        <v>1.8975219999999999</v>
      </c>
      <c r="D26" s="45">
        <v>2.002659</v>
      </c>
      <c r="E26" s="45">
        <v>2.136933</v>
      </c>
      <c r="F26" s="45">
        <v>2.2857750000000001</v>
      </c>
      <c r="G26" s="45">
        <v>2.4389159999999999</v>
      </c>
      <c r="H26" s="45">
        <v>2.5882170000000002</v>
      </c>
      <c r="I26" s="45">
        <v>2.7183757489945082</v>
      </c>
      <c r="L26" s="76" t="s">
        <v>80</v>
      </c>
    </row>
    <row r="27" spans="2:13" x14ac:dyDescent="0.25">
      <c r="B27" s="43" t="s">
        <v>79</v>
      </c>
      <c r="C27" s="45">
        <v>3.3868040000000001</v>
      </c>
      <c r="D27" s="45">
        <v>3.595682</v>
      </c>
      <c r="E27" s="45">
        <v>3.7452570000000001</v>
      </c>
      <c r="F27" s="45">
        <v>3.989916</v>
      </c>
      <c r="G27" s="45">
        <v>4.2623340000000001</v>
      </c>
      <c r="H27" s="45">
        <v>4.4411389999999997</v>
      </c>
      <c r="I27" s="45">
        <v>4.7401593190072182</v>
      </c>
    </row>
    <row r="28" spans="2:13" x14ac:dyDescent="0.25">
      <c r="B28" s="12"/>
    </row>
    <row r="30" spans="2:13" x14ac:dyDescent="0.25">
      <c r="B30" s="76" t="s">
        <v>81</v>
      </c>
      <c r="C30" s="42">
        <v>2018</v>
      </c>
      <c r="D30" s="42">
        <v>2019</v>
      </c>
      <c r="E30" s="42">
        <v>2020</v>
      </c>
      <c r="F30" s="42">
        <v>2021</v>
      </c>
      <c r="G30" s="42">
        <v>2022</v>
      </c>
      <c r="H30" s="42">
        <v>2023</v>
      </c>
      <c r="I30" s="42">
        <v>2024</v>
      </c>
    </row>
    <row r="31" spans="2:13" ht="18.75" customHeight="1" x14ac:dyDescent="0.25">
      <c r="B31" s="43" t="s">
        <v>13</v>
      </c>
      <c r="C31" s="44">
        <v>112.88612356500001</v>
      </c>
      <c r="D31" s="44">
        <v>154.445971023</v>
      </c>
      <c r="E31" s="44">
        <v>90.622457901999994</v>
      </c>
      <c r="F31" s="44">
        <v>186.401839889</v>
      </c>
      <c r="G31" s="44">
        <v>164.142080819</v>
      </c>
      <c r="H31" s="44">
        <v>180.91149167</v>
      </c>
      <c r="I31" s="44">
        <v>172.04321523827048</v>
      </c>
      <c r="J31" s="2"/>
      <c r="K31" s="2"/>
      <c r="L31" s="2"/>
    </row>
    <row r="32" spans="2:13" ht="18" customHeight="1" x14ac:dyDescent="0.25">
      <c r="B32" s="43" t="s">
        <v>14</v>
      </c>
      <c r="C32" s="44">
        <v>76.806051018000005</v>
      </c>
      <c r="D32" s="44">
        <v>77.780046209999995</v>
      </c>
      <c r="E32" s="44">
        <v>72.098523166000007</v>
      </c>
      <c r="F32" s="44">
        <v>80.070530955999999</v>
      </c>
      <c r="G32" s="44">
        <v>87.185480816999998</v>
      </c>
      <c r="H32" s="44">
        <v>84.286251536296803</v>
      </c>
      <c r="I32" s="44">
        <v>87.377383395417326</v>
      </c>
      <c r="J32" s="3"/>
      <c r="K32" s="3"/>
      <c r="L32" s="3"/>
      <c r="M32" s="3"/>
    </row>
    <row r="33" spans="1:13" ht="26.25" x14ac:dyDescent="0.25">
      <c r="B33" s="74"/>
      <c r="C33" s="75"/>
      <c r="D33" s="75"/>
      <c r="E33" s="75"/>
      <c r="F33" s="75"/>
      <c r="G33" s="75"/>
      <c r="H33" s="75"/>
      <c r="I33" s="75"/>
      <c r="J33" s="3"/>
      <c r="K33" s="3"/>
      <c r="L33" s="3"/>
      <c r="M33" s="3"/>
    </row>
    <row r="34" spans="1:13" ht="26.25" x14ac:dyDescent="0.25">
      <c r="A34" s="8"/>
      <c r="J34" s="3"/>
      <c r="K34" s="3"/>
      <c r="L34" s="3"/>
      <c r="M34" s="3"/>
    </row>
  </sheetData>
  <pageMargins left="0.7" right="0.7" top="0.75" bottom="0.75" header="0.3" footer="0.3"/>
  <pageSetup paperSize="9" scale="3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30"/>
  <sheetViews>
    <sheetView showGridLines="0" tabSelected="1" zoomScaleNormal="100" workbookViewId="0">
      <selection activeCell="B1" sqref="B1"/>
    </sheetView>
  </sheetViews>
  <sheetFormatPr baseColWidth="10" defaultRowHeight="15" x14ac:dyDescent="0.25"/>
  <cols>
    <col min="1" max="1" width="5.28515625" customWidth="1"/>
    <col min="2" max="2" width="51.5703125" customWidth="1"/>
    <col min="3" max="3" width="13.5703125" customWidth="1"/>
    <col min="4" max="4" width="12" customWidth="1"/>
    <col min="5" max="5" width="13.5703125" customWidth="1"/>
    <col min="6" max="6" width="13.7109375" customWidth="1"/>
    <col min="7" max="7" width="12.28515625" customWidth="1"/>
    <col min="8" max="8" width="12.85546875" customWidth="1"/>
    <col min="9" max="9" width="13.42578125" customWidth="1"/>
  </cols>
  <sheetData>
    <row r="1" spans="2:2" ht="18.75" x14ac:dyDescent="0.3">
      <c r="B1" s="11" t="s">
        <v>65</v>
      </c>
    </row>
    <row r="2" spans="2:2" ht="23.25" x14ac:dyDescent="0.35">
      <c r="B2" s="7"/>
    </row>
    <row r="3" spans="2:2" ht="23.25" x14ac:dyDescent="0.35">
      <c r="B3" s="7"/>
    </row>
    <row r="4" spans="2:2" ht="23.25" x14ac:dyDescent="0.35">
      <c r="B4" s="7"/>
    </row>
    <row r="5" spans="2:2" ht="23.25" x14ac:dyDescent="0.35">
      <c r="B5" s="7"/>
    </row>
    <row r="6" spans="2:2" ht="23.25" x14ac:dyDescent="0.35">
      <c r="B6" s="7"/>
    </row>
    <row r="7" spans="2:2" ht="23.25" x14ac:dyDescent="0.35">
      <c r="B7" s="7"/>
    </row>
    <row r="8" spans="2:2" ht="23.25" x14ac:dyDescent="0.35">
      <c r="B8" s="7"/>
    </row>
    <row r="9" spans="2:2" ht="23.25" x14ac:dyDescent="0.35">
      <c r="B9" s="7"/>
    </row>
    <row r="10" spans="2:2" ht="23.25" x14ac:dyDescent="0.35">
      <c r="B10" s="7"/>
    </row>
    <row r="11" spans="2:2" ht="23.25" x14ac:dyDescent="0.35">
      <c r="B11" s="7"/>
    </row>
    <row r="12" spans="2:2" ht="23.25" x14ac:dyDescent="0.35">
      <c r="B12" s="7"/>
    </row>
    <row r="13" spans="2:2" ht="26.25" x14ac:dyDescent="0.4">
      <c r="B13" s="1"/>
    </row>
    <row r="14" spans="2:2" ht="26.25" x14ac:dyDescent="0.4">
      <c r="B14" s="1"/>
    </row>
    <row r="15" spans="2:2" ht="26.25" x14ac:dyDescent="0.4">
      <c r="B15" s="1"/>
    </row>
    <row r="16" spans="2:2" ht="26.25" x14ac:dyDescent="0.4">
      <c r="B16" s="1"/>
    </row>
    <row r="17" spans="2:9" ht="26.25" x14ac:dyDescent="0.4">
      <c r="B17" s="1"/>
    </row>
    <row r="18" spans="2:9" ht="26.25" x14ac:dyDescent="0.4">
      <c r="B18" s="1"/>
    </row>
    <row r="19" spans="2:9" ht="24.75" customHeight="1" x14ac:dyDescent="0.25">
      <c r="B19" s="6" t="s">
        <v>4</v>
      </c>
    </row>
    <row r="20" spans="2:9" ht="15.75" x14ac:dyDescent="0.25">
      <c r="B20" s="6" t="s">
        <v>19</v>
      </c>
    </row>
    <row r="21" spans="2:9" x14ac:dyDescent="0.25">
      <c r="B21" s="38"/>
      <c r="C21" s="39">
        <v>2018</v>
      </c>
      <c r="D21" s="39">
        <v>2019</v>
      </c>
      <c r="E21" s="39">
        <v>2020</v>
      </c>
      <c r="F21" s="39">
        <v>2021</v>
      </c>
      <c r="G21" s="39">
        <v>2022</v>
      </c>
      <c r="H21" s="39">
        <v>2023</v>
      </c>
      <c r="I21" s="39">
        <v>2024</v>
      </c>
    </row>
    <row r="22" spans="2:9" x14ac:dyDescent="0.25">
      <c r="B22" s="40" t="s">
        <v>6</v>
      </c>
      <c r="C22" s="41">
        <v>18.223428762000001</v>
      </c>
      <c r="D22" s="41">
        <v>20.580861861999999</v>
      </c>
      <c r="E22" s="41">
        <v>20.488496176000002</v>
      </c>
      <c r="F22" s="41">
        <v>23.510748356000001</v>
      </c>
      <c r="G22" s="41">
        <v>26.636942294000001</v>
      </c>
      <c r="H22" s="41">
        <v>28.944907658000002</v>
      </c>
      <c r="I22" s="41">
        <v>30.123825590351167</v>
      </c>
    </row>
    <row r="23" spans="2:9" x14ac:dyDescent="0.25">
      <c r="B23" s="40" t="s">
        <v>7</v>
      </c>
      <c r="C23" s="41"/>
      <c r="D23" s="41"/>
      <c r="E23" s="41"/>
      <c r="F23" s="41"/>
      <c r="G23" s="41">
        <v>201.79876791500001</v>
      </c>
      <c r="H23" s="41">
        <v>253.238679617</v>
      </c>
      <c r="I23" s="41">
        <v>253.52969377507654</v>
      </c>
    </row>
    <row r="24" spans="2:9" x14ac:dyDescent="0.25">
      <c r="B24" s="40" t="s">
        <v>8</v>
      </c>
      <c r="C24" s="41"/>
      <c r="D24" s="41"/>
      <c r="E24" s="41"/>
      <c r="F24" s="41">
        <v>92.290504131999995</v>
      </c>
      <c r="G24" s="41">
        <v>39.345776829999998</v>
      </c>
      <c r="H24" s="41">
        <v>4.3354638000000001E-2</v>
      </c>
      <c r="I24" s="41">
        <v>0</v>
      </c>
    </row>
    <row r="25" spans="2:9" x14ac:dyDescent="0.25">
      <c r="B25" s="40" t="s">
        <v>9</v>
      </c>
      <c r="C25" s="41"/>
      <c r="D25" s="41"/>
      <c r="E25" s="41"/>
      <c r="F25" s="41">
        <v>104.38448266</v>
      </c>
      <c r="G25" s="41">
        <v>9.6002111659999994</v>
      </c>
      <c r="H25" s="41">
        <v>0</v>
      </c>
      <c r="I25" s="41">
        <v>0</v>
      </c>
    </row>
    <row r="26" spans="2:9" x14ac:dyDescent="0.25">
      <c r="B26" s="40" t="s">
        <v>10</v>
      </c>
      <c r="C26" s="41">
        <v>30.455266436999999</v>
      </c>
      <c r="D26" s="41">
        <v>47.380784685000002</v>
      </c>
      <c r="E26" s="41">
        <v>87.475859247000002</v>
      </c>
      <c r="F26" s="41">
        <v>38.937283653999998</v>
      </c>
      <c r="G26" s="41">
        <v>6.2563153999999996E-2</v>
      </c>
      <c r="H26" s="41">
        <v>0</v>
      </c>
      <c r="I26" s="41">
        <v>0</v>
      </c>
    </row>
    <row r="27" spans="2:9" x14ac:dyDescent="0.25">
      <c r="B27" s="40" t="s">
        <v>11</v>
      </c>
      <c r="C27" s="41">
        <v>0</v>
      </c>
      <c r="D27" s="41">
        <v>41.537445755999997</v>
      </c>
      <c r="E27" s="41">
        <v>78.466559786000005</v>
      </c>
      <c r="F27" s="41">
        <v>9.4846415860000004</v>
      </c>
      <c r="G27" s="41">
        <v>1.9628939000000001E-2</v>
      </c>
      <c r="H27" s="41">
        <v>0</v>
      </c>
      <c r="I27" s="41">
        <v>0</v>
      </c>
    </row>
    <row r="28" spans="2:9" x14ac:dyDescent="0.25">
      <c r="B28" s="40" t="s">
        <v>12</v>
      </c>
      <c r="C28" s="41">
        <v>128.62005859600001</v>
      </c>
      <c r="D28" s="41">
        <v>104.947801893</v>
      </c>
      <c r="E28" s="41">
        <v>4.7706785490000003</v>
      </c>
      <c r="F28" s="41">
        <v>0</v>
      </c>
      <c r="G28" s="41">
        <v>0</v>
      </c>
      <c r="H28" s="41">
        <v>0</v>
      </c>
      <c r="I28" s="41">
        <v>0</v>
      </c>
    </row>
    <row r="29" spans="2:9" x14ac:dyDescent="0.25">
      <c r="B29" s="40" t="s">
        <v>18</v>
      </c>
      <c r="C29" s="41">
        <v>-65.395893444999999</v>
      </c>
      <c r="D29" s="41">
        <v>-60.222763041</v>
      </c>
      <c r="E29" s="41">
        <v>-100.8946</v>
      </c>
      <c r="F29" s="41">
        <v>-83.062330994999996</v>
      </c>
      <c r="G29" s="41">
        <v>-113.321809479</v>
      </c>
      <c r="H29" s="41">
        <v>-101.806874067</v>
      </c>
      <c r="I29" s="41">
        <v>-111.90742632473</v>
      </c>
    </row>
    <row r="30" spans="2:9" x14ac:dyDescent="0.25">
      <c r="B30" s="40" t="s">
        <v>5</v>
      </c>
      <c r="C30" s="41">
        <v>31.085948897151411</v>
      </c>
      <c r="D30" s="41">
        <v>30.145982964014951</v>
      </c>
      <c r="E30" s="41">
        <v>28.1614596322054</v>
      </c>
      <c r="F30" s="41">
        <v>26.423921134454552</v>
      </c>
      <c r="G30" s="41">
        <v>24.642318322058372</v>
      </c>
      <c r="H30" s="41">
        <v>24.311657114986261</v>
      </c>
      <c r="I30" s="41">
        <v>24.256224773460765</v>
      </c>
    </row>
  </sheetData>
  <pageMargins left="0.7" right="0.7" top="0.75" bottom="0.75" header="0.3" footer="0.3"/>
  <pageSetup paperSize="9" scale="3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showGridLines="0" zoomScale="115" zoomScaleNormal="115" workbookViewId="0">
      <selection activeCell="E25" sqref="E25"/>
    </sheetView>
  </sheetViews>
  <sheetFormatPr baseColWidth="10" defaultRowHeight="15" x14ac:dyDescent="0.25"/>
  <cols>
    <col min="1" max="1" width="2.5703125" customWidth="1"/>
    <col min="2" max="2" width="51.140625" customWidth="1"/>
    <col min="3" max="3" width="13.7109375" customWidth="1"/>
    <col min="4" max="4" width="10.7109375" customWidth="1"/>
    <col min="5" max="5" width="14.140625" customWidth="1"/>
    <col min="7" max="7" width="13.85546875" customWidth="1"/>
  </cols>
  <sheetData>
    <row r="1" spans="1:11" ht="16.5" thickBot="1" x14ac:dyDescent="0.3">
      <c r="B1" s="13" t="s">
        <v>71</v>
      </c>
      <c r="C1" s="14"/>
      <c r="D1" s="14"/>
      <c r="E1" s="14"/>
      <c r="F1" s="14"/>
      <c r="G1" s="14"/>
    </row>
    <row r="2" spans="1:11" ht="39" thickBot="1" x14ac:dyDescent="0.3">
      <c r="A2" s="15"/>
      <c r="B2" s="47" t="s">
        <v>20</v>
      </c>
      <c r="C2" s="48" t="s">
        <v>21</v>
      </c>
      <c r="D2" s="49" t="s">
        <v>22</v>
      </c>
      <c r="E2" s="47" t="s">
        <v>23</v>
      </c>
      <c r="F2" s="47" t="s">
        <v>24</v>
      </c>
      <c r="G2" s="47" t="s">
        <v>25</v>
      </c>
    </row>
    <row r="3" spans="1:11" ht="15.75" thickBot="1" x14ac:dyDescent="0.3">
      <c r="A3" s="15"/>
      <c r="B3" s="50" t="s">
        <v>26</v>
      </c>
      <c r="C3" s="51">
        <v>172043215238.27048</v>
      </c>
      <c r="D3" s="52">
        <v>-4.9019972970573447</v>
      </c>
      <c r="E3" s="53">
        <v>63288.947226230724</v>
      </c>
      <c r="F3" s="54">
        <v>69047590311.70636</v>
      </c>
      <c r="G3" s="55">
        <v>2718376.9485577014</v>
      </c>
    </row>
    <row r="4" spans="1:11" x14ac:dyDescent="0.25">
      <c r="A4" s="15"/>
      <c r="B4" s="56" t="s">
        <v>27</v>
      </c>
      <c r="C4" s="57">
        <v>57590288472.22036</v>
      </c>
      <c r="D4" s="58">
        <v>-5.0134934283473243</v>
      </c>
      <c r="E4" s="59">
        <v>88948.849605099909</v>
      </c>
      <c r="F4" s="60">
        <v>18914007451.569141</v>
      </c>
      <c r="G4" s="61">
        <v>647454</v>
      </c>
    </row>
    <row r="5" spans="1:11" x14ac:dyDescent="0.25">
      <c r="A5" s="15"/>
      <c r="B5" s="56" t="s">
        <v>28</v>
      </c>
      <c r="C5" s="57">
        <v>40081381179.500092</v>
      </c>
      <c r="D5" s="58">
        <v>-10.270872810951495</v>
      </c>
      <c r="E5" s="59">
        <v>269451.40748633223</v>
      </c>
      <c r="F5" s="60">
        <v>15229616140.527603</v>
      </c>
      <c r="G5" s="61">
        <v>148751.79741465332</v>
      </c>
    </row>
    <row r="6" spans="1:11" x14ac:dyDescent="0.25">
      <c r="A6" s="15"/>
      <c r="B6" s="62" t="s">
        <v>29</v>
      </c>
      <c r="C6" s="63">
        <v>31436587837.786285</v>
      </c>
      <c r="D6" s="64">
        <v>-7.5482524853633475</v>
      </c>
      <c r="E6" s="65">
        <v>268260.97673627577</v>
      </c>
      <c r="F6" s="66">
        <v>12561587270.161119</v>
      </c>
      <c r="G6" s="67">
        <v>117186.58531796531</v>
      </c>
    </row>
    <row r="7" spans="1:11" x14ac:dyDescent="0.25">
      <c r="A7" s="15"/>
      <c r="B7" s="56" t="s">
        <v>30</v>
      </c>
      <c r="C7" s="57">
        <v>15508703039.857759</v>
      </c>
      <c r="D7" s="58">
        <v>-1.8915575766663244</v>
      </c>
      <c r="E7" s="59">
        <v>66651.637807049759</v>
      </c>
      <c r="F7" s="60">
        <v>9866207495.7932129</v>
      </c>
      <c r="G7" s="61">
        <v>232683</v>
      </c>
      <c r="J7" s="8"/>
      <c r="K7" s="8"/>
    </row>
    <row r="8" spans="1:11" x14ac:dyDescent="0.25">
      <c r="A8" s="15"/>
      <c r="B8" s="56" t="s">
        <v>31</v>
      </c>
      <c r="C8" s="57">
        <v>21196941586.15519</v>
      </c>
      <c r="D8" s="58">
        <v>-2.8864361733543609</v>
      </c>
      <c r="E8" s="59">
        <v>45149.25170538672</v>
      </c>
      <c r="F8" s="60">
        <v>9167166289.1140461</v>
      </c>
      <c r="G8" s="61">
        <v>469486</v>
      </c>
      <c r="I8" s="8"/>
    </row>
    <row r="9" spans="1:11" x14ac:dyDescent="0.25">
      <c r="A9" s="15"/>
      <c r="B9" s="56" t="s">
        <v>32</v>
      </c>
      <c r="C9" s="57">
        <v>16758150057.363945</v>
      </c>
      <c r="D9" s="58">
        <v>-3.3098275624658764</v>
      </c>
      <c r="E9" s="59">
        <v>60431.977877737751</v>
      </c>
      <c r="F9" s="60">
        <v>4981431576.5988407</v>
      </c>
      <c r="G9" s="61">
        <v>277306</v>
      </c>
    </row>
    <row r="10" spans="1:11" x14ac:dyDescent="0.25">
      <c r="A10" s="15"/>
      <c r="B10" s="56" t="s">
        <v>33</v>
      </c>
      <c r="C10" s="57">
        <v>8375436645.963541</v>
      </c>
      <c r="D10" s="58">
        <v>2.7641438438082142</v>
      </c>
      <c r="E10" s="59">
        <v>14266.62575006778</v>
      </c>
      <c r="F10" s="60">
        <v>3859014397.6923456</v>
      </c>
      <c r="G10" s="61">
        <v>587065</v>
      </c>
    </row>
    <row r="11" spans="1:11" x14ac:dyDescent="0.25">
      <c r="A11" s="15"/>
      <c r="B11" s="56" t="s">
        <v>34</v>
      </c>
      <c r="C11" s="57">
        <v>4457859030.1151123</v>
      </c>
      <c r="D11" s="58">
        <v>-7.2087279134258058</v>
      </c>
      <c r="E11" s="59">
        <v>40857.306797990175</v>
      </c>
      <c r="F11" s="60">
        <v>3529089404.4637938</v>
      </c>
      <c r="G11" s="61">
        <v>109108</v>
      </c>
    </row>
    <row r="12" spans="1:11" x14ac:dyDescent="0.25">
      <c r="A12" s="15"/>
      <c r="B12" s="56" t="s">
        <v>35</v>
      </c>
      <c r="C12" s="57">
        <v>5110578881.4443722</v>
      </c>
      <c r="D12" s="58">
        <v>13.907077326757308</v>
      </c>
      <c r="E12" s="59">
        <v>57376.462388929867</v>
      </c>
      <c r="F12" s="60">
        <v>1853418092.1360767</v>
      </c>
      <c r="G12" s="61">
        <v>89071</v>
      </c>
    </row>
    <row r="13" spans="1:11" x14ac:dyDescent="0.25">
      <c r="A13" s="15"/>
      <c r="B13" s="56" t="s">
        <v>36</v>
      </c>
      <c r="C13" s="57">
        <v>2250206680.1131244</v>
      </c>
      <c r="D13" s="58">
        <v>-11.811048258259897</v>
      </c>
      <c r="E13" s="59">
        <v>67449.911139593038</v>
      </c>
      <c r="F13" s="60">
        <v>749940717.08639097</v>
      </c>
      <c r="G13" s="61">
        <v>33361.15114304806</v>
      </c>
    </row>
    <row r="14" spans="1:11" ht="15.75" thickBot="1" x14ac:dyDescent="0.3">
      <c r="A14" s="15"/>
      <c r="B14" s="68" t="s">
        <v>37</v>
      </c>
      <c r="C14" s="69">
        <v>713669665.53698349</v>
      </c>
      <c r="D14" s="70">
        <v>9.2566964693315388</v>
      </c>
      <c r="E14" s="71">
        <v>5751.1799045618418</v>
      </c>
      <c r="F14" s="72">
        <v>897698746.72489595</v>
      </c>
      <c r="G14" s="73">
        <v>124091</v>
      </c>
    </row>
    <row r="15" spans="1:11" ht="15.75" x14ac:dyDescent="0.25">
      <c r="B15" s="6" t="s">
        <v>19</v>
      </c>
    </row>
    <row r="17" spans="2:2" x14ac:dyDescent="0.25">
      <c r="B17" s="8"/>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1"/>
  <sheetViews>
    <sheetView showGridLines="0" zoomScaleNormal="100" workbookViewId="0">
      <selection activeCell="C34" sqref="C34"/>
    </sheetView>
  </sheetViews>
  <sheetFormatPr baseColWidth="10" defaultRowHeight="15" x14ac:dyDescent="0.25"/>
  <cols>
    <col min="1" max="1" width="3" customWidth="1"/>
    <col min="2" max="2" width="49.28515625" customWidth="1"/>
    <col min="3" max="3" width="14.85546875" customWidth="1"/>
    <col min="4" max="5" width="14.42578125" customWidth="1"/>
    <col min="6" max="6" width="14" customWidth="1"/>
  </cols>
  <sheetData>
    <row r="1" spans="2:7" ht="19.5" thickBot="1" x14ac:dyDescent="0.35">
      <c r="B1" s="28" t="s">
        <v>72</v>
      </c>
      <c r="C1" s="14"/>
      <c r="D1" s="14"/>
      <c r="E1" s="14"/>
      <c r="F1" s="14"/>
      <c r="G1" s="14"/>
    </row>
    <row r="2" spans="2:7" ht="48" thickBot="1" x14ac:dyDescent="0.3">
      <c r="B2" s="25" t="s">
        <v>38</v>
      </c>
      <c r="C2" s="26" t="s">
        <v>39</v>
      </c>
      <c r="D2" s="26" t="s">
        <v>40</v>
      </c>
      <c r="E2" s="26" t="s">
        <v>41</v>
      </c>
      <c r="F2" s="26" t="s">
        <v>42</v>
      </c>
      <c r="G2" s="26" t="s">
        <v>43</v>
      </c>
    </row>
    <row r="3" spans="2:7" ht="15.75" x14ac:dyDescent="0.25">
      <c r="B3" s="22" t="s">
        <v>44</v>
      </c>
      <c r="C3" s="27">
        <v>2489000</v>
      </c>
      <c r="D3" s="27">
        <v>220600</v>
      </c>
      <c r="E3" s="27">
        <v>8500</v>
      </c>
      <c r="F3" s="17">
        <v>400</v>
      </c>
      <c r="G3" s="27">
        <v>2718400</v>
      </c>
    </row>
    <row r="4" spans="2:7" ht="15.75" x14ac:dyDescent="0.25">
      <c r="B4" s="23" t="s">
        <v>45</v>
      </c>
      <c r="C4" s="18">
        <v>5.4616329816533202</v>
      </c>
      <c r="D4" s="18">
        <v>0.54694621695533274</v>
      </c>
      <c r="E4" s="18">
        <v>1.1904761904761905</v>
      </c>
      <c r="F4" s="18">
        <v>0</v>
      </c>
      <c r="G4" s="18">
        <v>5.0305231434974109</v>
      </c>
    </row>
    <row r="5" spans="2:7" ht="15.75" x14ac:dyDescent="0.25">
      <c r="B5" s="22" t="s">
        <v>21</v>
      </c>
      <c r="C5" s="19">
        <v>33938170509.635033</v>
      </c>
      <c r="D5" s="19">
        <v>49916421919.92469</v>
      </c>
      <c r="E5" s="19">
        <v>41465377516.010696</v>
      </c>
      <c r="F5" s="19">
        <v>46723245292.700073</v>
      </c>
      <c r="G5" s="19">
        <v>172043215238.27051</v>
      </c>
    </row>
    <row r="6" spans="2:7" ht="15.75" x14ac:dyDescent="0.25">
      <c r="B6" s="23" t="s">
        <v>46</v>
      </c>
      <c r="C6" s="18">
        <v>0.98825459826294204</v>
      </c>
      <c r="D6" s="18">
        <v>-1.8661400678563238</v>
      </c>
      <c r="E6" s="18">
        <v>1.7624918345763381</v>
      </c>
      <c r="F6" s="18">
        <v>-16.105076036565748</v>
      </c>
      <c r="G6" s="18">
        <v>-4.9019972970573278</v>
      </c>
    </row>
    <row r="7" spans="2:7" ht="15.75" x14ac:dyDescent="0.25">
      <c r="B7" s="22" t="s">
        <v>47</v>
      </c>
      <c r="C7" s="19">
        <v>65885984991.550064</v>
      </c>
      <c r="D7" s="19">
        <v>78531161552.261826</v>
      </c>
      <c r="E7" s="19">
        <v>64528588865.905434</v>
      </c>
      <c r="F7" s="19">
        <v>75004906153.283554</v>
      </c>
      <c r="G7" s="19">
        <v>283950641563.00085</v>
      </c>
    </row>
    <row r="8" spans="2:7" ht="15.75" x14ac:dyDescent="0.25">
      <c r="B8" s="23" t="s">
        <v>48</v>
      </c>
      <c r="C8" s="20">
        <v>5.1676821317539527</v>
      </c>
      <c r="D8" s="20">
        <v>0.96978588191968684</v>
      </c>
      <c r="E8" s="20">
        <v>3.5939698459309284</v>
      </c>
      <c r="F8" s="20">
        <v>-6.0909560161728802</v>
      </c>
      <c r="G8" s="20">
        <v>0.4832510223803731</v>
      </c>
    </row>
    <row r="9" spans="2:7" ht="15.75" x14ac:dyDescent="0.25">
      <c r="B9" s="22" t="s">
        <v>49</v>
      </c>
      <c r="C9" s="19">
        <v>14032250127.802696</v>
      </c>
      <c r="D9" s="19">
        <v>19224700900.040588</v>
      </c>
      <c r="E9" s="19">
        <v>16208329038.439407</v>
      </c>
      <c r="F9" s="19">
        <v>19582310245.423656</v>
      </c>
      <c r="G9" s="19">
        <v>69047590311.706345</v>
      </c>
    </row>
    <row r="10" spans="2:7" ht="16.5" thickBot="1" x14ac:dyDescent="0.3">
      <c r="B10" s="24" t="s">
        <v>50</v>
      </c>
      <c r="C10" s="21">
        <v>5.836020605535543</v>
      </c>
      <c r="D10" s="21">
        <v>0.88350870572582352</v>
      </c>
      <c r="E10" s="21">
        <v>3.7701118461601233</v>
      </c>
      <c r="F10" s="21">
        <v>-5.306922217084364</v>
      </c>
      <c r="G10" s="21">
        <v>0.6318588254562848</v>
      </c>
    </row>
    <row r="11" spans="2:7" ht="15.75" x14ac:dyDescent="0.25">
      <c r="B11" s="6" t="s">
        <v>19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5"/>
  <sheetViews>
    <sheetView showGridLines="0" zoomScaleNormal="100" workbookViewId="0">
      <selection activeCell="O23" sqref="O23"/>
    </sheetView>
  </sheetViews>
  <sheetFormatPr baseColWidth="10" defaultRowHeight="15" x14ac:dyDescent="0.25"/>
  <cols>
    <col min="1" max="1" width="5" customWidth="1"/>
    <col min="2" max="2" width="52" customWidth="1"/>
    <col min="3" max="3" width="10.28515625" customWidth="1"/>
    <col min="4" max="4" width="10.42578125" customWidth="1"/>
    <col min="5" max="5" width="10.85546875" customWidth="1"/>
    <col min="6" max="6" width="10.42578125" customWidth="1"/>
    <col min="7" max="8" width="10" customWidth="1"/>
  </cols>
  <sheetData>
    <row r="1" spans="2:2" ht="18.75" x14ac:dyDescent="0.3">
      <c r="B1" s="11" t="s">
        <v>66</v>
      </c>
    </row>
    <row r="23" spans="2:15" ht="15.75" x14ac:dyDescent="0.25">
      <c r="B23" s="6" t="s">
        <v>19</v>
      </c>
    </row>
    <row r="25" spans="2:15" x14ac:dyDescent="0.25">
      <c r="B25" s="79" t="s">
        <v>80</v>
      </c>
      <c r="C25" s="39">
        <v>2018</v>
      </c>
      <c r="D25" s="39">
        <v>2019</v>
      </c>
      <c r="E25" s="39">
        <v>2020</v>
      </c>
      <c r="F25" s="39">
        <v>2021</v>
      </c>
      <c r="G25" s="39">
        <v>2022</v>
      </c>
      <c r="H25" s="39">
        <v>2023</v>
      </c>
      <c r="I25" s="39">
        <v>2024</v>
      </c>
    </row>
    <row r="26" spans="2:15" ht="15.75" customHeight="1" x14ac:dyDescent="0.25">
      <c r="B26" s="78" t="s">
        <v>82</v>
      </c>
      <c r="C26" s="77">
        <v>0.82667000000000002</v>
      </c>
      <c r="D26" s="77">
        <v>0.84961100000000001</v>
      </c>
      <c r="E26" s="77">
        <v>0.88536000000000004</v>
      </c>
      <c r="F26" s="77">
        <v>0.941944</v>
      </c>
      <c r="G26" s="77">
        <v>1.009911</v>
      </c>
      <c r="H26" s="77">
        <v>1.0773919999999999</v>
      </c>
      <c r="I26" s="77">
        <v>1.1417811904370023</v>
      </c>
      <c r="J26" s="4"/>
      <c r="K26" s="4"/>
      <c r="L26" s="4"/>
      <c r="M26" s="4"/>
      <c r="N26" s="4"/>
      <c r="O26" s="4"/>
    </row>
    <row r="27" spans="2:15" ht="15" customHeight="1" x14ac:dyDescent="0.25">
      <c r="B27" s="78" t="s">
        <v>83</v>
      </c>
      <c r="C27" s="77">
        <v>0.58567800000000003</v>
      </c>
      <c r="D27" s="77">
        <v>0.57804299999999997</v>
      </c>
      <c r="E27" s="77">
        <v>0.57296999999999998</v>
      </c>
      <c r="F27" s="77">
        <v>0.57526200000000005</v>
      </c>
      <c r="G27" s="77">
        <v>0.57512799999999997</v>
      </c>
      <c r="H27" s="77">
        <v>0.57895399999999997</v>
      </c>
      <c r="I27" s="77">
        <v>0.64473966436314945</v>
      </c>
      <c r="J27" s="4"/>
      <c r="K27" s="4"/>
      <c r="L27" s="4"/>
      <c r="M27" s="4"/>
      <c r="N27" s="4"/>
      <c r="O27" s="4"/>
    </row>
    <row r="28" spans="2:15" ht="17.25" customHeight="1" x14ac:dyDescent="0.25">
      <c r="B28" s="78" t="s">
        <v>84</v>
      </c>
      <c r="C28" s="77">
        <v>0.26502999999999999</v>
      </c>
      <c r="D28" s="77">
        <v>0.26086999999999999</v>
      </c>
      <c r="E28" s="77">
        <v>0.25620999999999999</v>
      </c>
      <c r="F28" s="77">
        <v>0.251967</v>
      </c>
      <c r="G28" s="77">
        <v>0.248362</v>
      </c>
      <c r="H28" s="77">
        <v>0.24302199999999999</v>
      </c>
      <c r="I28" s="77">
        <v>0.23446569240249016</v>
      </c>
      <c r="J28" s="5"/>
      <c r="K28" s="5"/>
      <c r="L28" s="5"/>
      <c r="M28" s="5"/>
      <c r="N28" s="5"/>
      <c r="O28" s="5"/>
    </row>
    <row r="29" spans="2:15" ht="13.5" customHeight="1" x14ac:dyDescent="0.25">
      <c r="B29" s="78" t="s">
        <v>85</v>
      </c>
      <c r="C29" s="77">
        <v>1.7094259999999999</v>
      </c>
      <c r="D29" s="77">
        <v>1.9071579999999999</v>
      </c>
      <c r="E29" s="77">
        <v>2.0311020000000002</v>
      </c>
      <c r="F29" s="77">
        <v>2.2111429999999999</v>
      </c>
      <c r="G29" s="77">
        <v>2.4199329999999999</v>
      </c>
      <c r="H29" s="77">
        <v>2.5392709999999994</v>
      </c>
      <c r="I29" s="77">
        <v>2.7192003547365227</v>
      </c>
      <c r="J29" s="5"/>
      <c r="K29" s="5"/>
      <c r="L29" s="5"/>
      <c r="M29" s="5"/>
      <c r="N29" s="5"/>
      <c r="O29" s="5"/>
    </row>
    <row r="31" spans="2:15" x14ac:dyDescent="0.25">
      <c r="B31" s="79" t="s">
        <v>86</v>
      </c>
      <c r="C31" s="39">
        <v>2018</v>
      </c>
      <c r="D31" s="39">
        <v>2019</v>
      </c>
      <c r="E31" s="39">
        <v>2020</v>
      </c>
      <c r="F31" s="39">
        <v>2021</v>
      </c>
      <c r="G31" s="39">
        <v>2022</v>
      </c>
      <c r="H31" s="39">
        <v>2023</v>
      </c>
      <c r="I31" s="39">
        <v>2024</v>
      </c>
    </row>
    <row r="32" spans="2:15" x14ac:dyDescent="0.25">
      <c r="B32" s="78" t="s">
        <v>82</v>
      </c>
      <c r="C32" s="46">
        <v>20.023164137999999</v>
      </c>
      <c r="D32" s="46">
        <v>20.057072293000001</v>
      </c>
      <c r="E32" s="46">
        <v>16.299723160999999</v>
      </c>
      <c r="F32" s="46">
        <v>16.977599523999999</v>
      </c>
      <c r="G32" s="46">
        <v>18.707807312</v>
      </c>
      <c r="H32" s="46">
        <v>14.991510024</v>
      </c>
      <c r="I32" s="46">
        <v>13.237338090087276</v>
      </c>
    </row>
    <row r="33" spans="2:9" x14ac:dyDescent="0.25">
      <c r="B33" s="78" t="s">
        <v>83</v>
      </c>
      <c r="C33" s="46">
        <v>35.920409583999998</v>
      </c>
      <c r="D33" s="46">
        <v>35.108529924000003</v>
      </c>
      <c r="E33" s="46">
        <v>33.258732629000001</v>
      </c>
      <c r="F33" s="46">
        <v>36.157538934999998</v>
      </c>
      <c r="G33" s="46">
        <v>34.635131899999998</v>
      </c>
      <c r="H33" s="46">
        <v>34.170191312999997</v>
      </c>
      <c r="I33" s="46">
        <v>41.279193265430258</v>
      </c>
    </row>
    <row r="34" spans="2:9" x14ac:dyDescent="0.25">
      <c r="B34" s="78" t="s">
        <v>84</v>
      </c>
      <c r="C34" s="46">
        <v>10.166854592</v>
      </c>
      <c r="D34" s="46">
        <v>9.7897467989999996</v>
      </c>
      <c r="E34" s="46">
        <v>9.5328398500000002</v>
      </c>
      <c r="F34" s="46">
        <v>10.633505803</v>
      </c>
      <c r="G34" s="46">
        <v>14.961729688</v>
      </c>
      <c r="H34" s="46">
        <v>14.904794694</v>
      </c>
      <c r="I34" s="46">
        <v>10.58775923255053</v>
      </c>
    </row>
    <row r="35" spans="2:9" x14ac:dyDescent="0.25">
      <c r="B35" s="78" t="s">
        <v>85</v>
      </c>
      <c r="C35" s="46">
        <v>10.695622704</v>
      </c>
      <c r="D35" s="46">
        <v>12.824697194000001</v>
      </c>
      <c r="E35" s="46">
        <v>13.016829956</v>
      </c>
      <c r="F35" s="46">
        <v>16.301886694</v>
      </c>
      <c r="G35" s="46">
        <v>18.880811916999999</v>
      </c>
      <c r="H35" s="46">
        <v>20.362772488944866</v>
      </c>
      <c r="I35" s="46">
        <v>22.529370403022035</v>
      </c>
    </row>
  </sheetData>
  <pageMargins left="0.7" right="0.7" top="0.75" bottom="0.75" header="0.3" footer="0.3"/>
  <pageSetup paperSize="9" scale="3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showGridLines="0" zoomScaleNormal="100" workbookViewId="0">
      <selection activeCell="M14" sqref="M14"/>
    </sheetView>
  </sheetViews>
  <sheetFormatPr baseColWidth="10" defaultRowHeight="15" x14ac:dyDescent="0.25"/>
  <cols>
    <col min="1" max="1" width="2.5703125" customWidth="1"/>
    <col min="2" max="2" width="54.7109375" customWidth="1"/>
    <col min="3" max="3" width="17" customWidth="1"/>
    <col min="4" max="4" width="15.28515625" customWidth="1"/>
    <col min="5" max="5" width="16.7109375" customWidth="1"/>
    <col min="6" max="6" width="13.85546875" customWidth="1"/>
  </cols>
  <sheetData>
    <row r="1" spans="1:6" ht="19.5" thickBot="1" x14ac:dyDescent="0.35">
      <c r="B1" s="28" t="s">
        <v>54</v>
      </c>
      <c r="C1" s="14"/>
      <c r="D1" s="14"/>
      <c r="E1" s="14"/>
      <c r="F1" s="14"/>
    </row>
    <row r="2" spans="1:6" ht="75.75" thickBot="1" x14ac:dyDescent="0.3">
      <c r="A2" s="15"/>
      <c r="B2" s="16" t="s">
        <v>55</v>
      </c>
      <c r="C2" s="16" t="s">
        <v>56</v>
      </c>
      <c r="D2" s="16" t="s">
        <v>73</v>
      </c>
      <c r="E2" s="16" t="s">
        <v>74</v>
      </c>
      <c r="F2" s="16" t="s">
        <v>75</v>
      </c>
    </row>
    <row r="3" spans="1:6" ht="16.5" thickBot="1" x14ac:dyDescent="0.3">
      <c r="A3" s="15"/>
      <c r="B3" s="29" t="s">
        <v>57</v>
      </c>
      <c r="C3" s="32">
        <v>799370</v>
      </c>
      <c r="D3" s="35">
        <v>13156365343</v>
      </c>
      <c r="E3" s="35">
        <v>-563889831</v>
      </c>
      <c r="F3" s="35">
        <v>11565226440</v>
      </c>
    </row>
    <row r="4" spans="1:6" ht="15.75" x14ac:dyDescent="0.25">
      <c r="A4" s="15"/>
      <c r="B4" s="30" t="s">
        <v>58</v>
      </c>
      <c r="C4" s="33">
        <v>22334</v>
      </c>
      <c r="D4" s="36">
        <v>8129492171</v>
      </c>
      <c r="E4" s="36">
        <v>85232989</v>
      </c>
      <c r="F4" s="36">
        <v>7084498195</v>
      </c>
    </row>
    <row r="5" spans="1:6" ht="15.75" x14ac:dyDescent="0.25">
      <c r="A5" s="15"/>
      <c r="B5" s="30" t="s">
        <v>59</v>
      </c>
      <c r="C5" s="33">
        <v>157662</v>
      </c>
      <c r="D5" s="36">
        <v>1636003444</v>
      </c>
      <c r="E5" s="36">
        <v>176574203</v>
      </c>
      <c r="F5" s="36">
        <v>1955752894</v>
      </c>
    </row>
    <row r="6" spans="1:6" ht="15.75" x14ac:dyDescent="0.25">
      <c r="A6" s="15"/>
      <c r="B6" s="30" t="s">
        <v>61</v>
      </c>
      <c r="C6" s="33">
        <v>219</v>
      </c>
      <c r="D6" s="36">
        <v>684103524</v>
      </c>
      <c r="E6" s="36">
        <v>-62151798</v>
      </c>
      <c r="F6" s="36">
        <v>760851816</v>
      </c>
    </row>
    <row r="7" spans="1:6" ht="15.75" x14ac:dyDescent="0.25">
      <c r="A7" s="15"/>
      <c r="B7" s="30" t="s">
        <v>62</v>
      </c>
      <c r="C7" s="33">
        <v>8855</v>
      </c>
      <c r="D7" s="36">
        <v>564041908</v>
      </c>
      <c r="E7" s="36">
        <v>-58167604</v>
      </c>
      <c r="F7" s="36">
        <v>456620579</v>
      </c>
    </row>
    <row r="8" spans="1:6" ht="15.75" x14ac:dyDescent="0.25">
      <c r="A8" s="15"/>
      <c r="B8" s="30" t="s">
        <v>60</v>
      </c>
      <c r="C8" s="33">
        <v>2048</v>
      </c>
      <c r="D8" s="36">
        <v>157771841</v>
      </c>
      <c r="E8" s="36">
        <v>-938574182</v>
      </c>
      <c r="F8" s="36">
        <v>32969224</v>
      </c>
    </row>
    <row r="9" spans="1:6" ht="16.5" thickBot="1" x14ac:dyDescent="0.3">
      <c r="A9" s="15"/>
      <c r="B9" s="31" t="s">
        <v>63</v>
      </c>
      <c r="C9" s="34">
        <v>608252</v>
      </c>
      <c r="D9" s="37">
        <v>1984952455</v>
      </c>
      <c r="E9" s="37">
        <v>233196561</v>
      </c>
      <c r="F9" s="37">
        <v>1274533732</v>
      </c>
    </row>
    <row r="10" spans="1:6" ht="15.75" x14ac:dyDescent="0.25">
      <c r="B10" s="12" t="s">
        <v>64</v>
      </c>
      <c r="C10" s="9"/>
      <c r="D10" s="10"/>
      <c r="E10" s="10"/>
      <c r="F10" s="10"/>
    </row>
    <row r="11" spans="1:6" x14ac:dyDescent="0.25">
      <c r="B11" s="12" t="s">
        <v>51</v>
      </c>
    </row>
    <row r="12" spans="1:6" x14ac:dyDescent="0.25">
      <c r="B12" s="12" t="s">
        <v>52</v>
      </c>
    </row>
    <row r="13" spans="1:6" x14ac:dyDescent="0.25">
      <c r="B13" s="12" t="s">
        <v>53</v>
      </c>
    </row>
    <row r="14" spans="1:6" x14ac:dyDescent="0.25">
      <c r="B14" s="12" t="s">
        <v>19</v>
      </c>
    </row>
    <row r="16" spans="1:6" x14ac:dyDescent="0.25">
      <c r="E16" s="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Lisez-moi</vt:lpstr>
      <vt:lpstr>Graphique 1</vt:lpstr>
      <vt:lpstr>Graphique 2</vt:lpstr>
      <vt:lpstr>Tableau 1</vt:lpstr>
      <vt:lpstr>Tableau 2</vt:lpstr>
      <vt:lpstr>Graphique 3</vt:lpstr>
      <vt:lpstr>Tableau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c:creator>
  <cp:lastModifiedBy>arnal</cp:lastModifiedBy>
  <cp:lastPrinted>2022-04-19T09:46:44Z</cp:lastPrinted>
  <dcterms:created xsi:type="dcterms:W3CDTF">2021-09-06T13:55:16Z</dcterms:created>
  <dcterms:modified xsi:type="dcterms:W3CDTF">2025-09-19T08:05:57Z</dcterms:modified>
</cp:coreProperties>
</file>