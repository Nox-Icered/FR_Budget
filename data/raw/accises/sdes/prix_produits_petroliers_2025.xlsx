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ebastien.thiriat\Documents\[02] professionnel\[01] site SDES\prix pétrole 2025\"/>
    </mc:Choice>
  </mc:AlternateContent>
  <xr:revisionPtr revIDLastSave="0" documentId="13_ncr:1_{CD2A513F-DEFB-4D23-B794-B2F39A7D8C6D}" xr6:coauthVersionLast="47" xr6:coauthVersionMax="47" xr10:uidLastSave="{00000000-0000-0000-0000-000000000000}"/>
  <bookViews>
    <workbookView xWindow="2295" yWindow="2295" windowWidth="21600" windowHeight="11835" tabRatio="916" xr2:uid="{00000000-000D-0000-FFFF-FFFF00000000}"/>
  </bookViews>
  <sheets>
    <sheet name="Graphique 1" sheetId="7" r:id="rId1"/>
    <sheet name="Tableau 1" sheetId="5" r:id="rId2"/>
    <sheet name="Tableau 2" sheetId="6" r:id="rId3"/>
    <sheet name="Tableau 3" sheetId="8" r:id="rId4"/>
    <sheet name="Graphique 2" sheetId="14" r:id="rId5"/>
    <sheet name="Tableau 4" sheetId="10" r:id="rId6"/>
    <sheet name="Graphique 3" sheetId="15" r:id="rId7"/>
    <sheet name="Graphique 4" sheetId="16" r:id="rId8"/>
    <sheet name="Graphique_complement_1" sheetId="12" r:id="rId9"/>
    <sheet name="Graphique_complement_2" sheetId="1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4" i="7" l="1"/>
  <c r="D55" i="7" s="1"/>
  <c r="D56" i="7" s="1"/>
  <c r="D57" i="7" s="1"/>
  <c r="D58" i="7" s="1"/>
  <c r="D59" i="7" s="1"/>
  <c r="D60" i="7" s="1"/>
  <c r="D61" i="7" s="1"/>
  <c r="D62" i="7" s="1"/>
  <c r="D63" i="7" s="1"/>
  <c r="D64" i="7" s="1"/>
  <c r="D42" i="7"/>
  <c r="D43" i="7" s="1"/>
  <c r="D44" i="7" s="1"/>
  <c r="D45" i="7" s="1"/>
  <c r="D46" i="7" s="1"/>
  <c r="D47" i="7" s="1"/>
  <c r="D48" i="7" s="1"/>
  <c r="D49" i="7" s="1"/>
  <c r="D50" i="7" s="1"/>
  <c r="D51" i="7" s="1"/>
  <c r="D52" i="7" s="1"/>
  <c r="D6" i="7"/>
  <c r="D7" i="7" s="1"/>
  <c r="D8" i="7" s="1"/>
  <c r="D9" i="7" s="1"/>
  <c r="D10" i="7" s="1"/>
  <c r="D11" i="7" s="1"/>
  <c r="D12" i="7" s="1"/>
  <c r="D13" i="7" s="1"/>
  <c r="D14" i="7" s="1"/>
  <c r="D15" i="7" s="1"/>
  <c r="D16" i="7" s="1"/>
  <c r="D17" i="7"/>
  <c r="D18" i="7" s="1"/>
  <c r="D19" i="7" s="1"/>
  <c r="D20" i="7" s="1"/>
  <c r="D21" i="7" s="1"/>
  <c r="D22" i="7" s="1"/>
  <c r="D23" i="7" s="1"/>
  <c r="D24" i="7" s="1"/>
  <c r="D25" i="7" s="1"/>
  <c r="D26" i="7" s="1"/>
  <c r="D27" i="7" s="1"/>
  <c r="D28" i="7" s="1"/>
  <c r="D29" i="7"/>
  <c r="D30" i="7" s="1"/>
  <c r="D31" i="7" s="1"/>
  <c r="D32" i="7" s="1"/>
  <c r="D33" i="7" s="1"/>
  <c r="D34" i="7" s="1"/>
  <c r="D35" i="7" s="1"/>
  <c r="D36" i="7" s="1"/>
  <c r="D37" i="7" s="1"/>
  <c r="D38" i="7" s="1"/>
  <c r="D39" i="7" s="1"/>
  <c r="D40" i="7" s="1"/>
  <c r="D41" i="7"/>
  <c r="D53" i="7"/>
  <c r="D65" i="7"/>
  <c r="D66" i="7" s="1"/>
  <c r="D67" i="7" s="1"/>
  <c r="D68" i="7" s="1"/>
  <c r="D69" i="7" s="1"/>
  <c r="D70" i="7" s="1"/>
  <c r="D71" i="7" s="1"/>
  <c r="D72" i="7" s="1"/>
  <c r="D73" i="7" s="1"/>
  <c r="D74" i="7" s="1"/>
  <c r="D75" i="7" s="1"/>
  <c r="D76" i="7" s="1"/>
  <c r="D77" i="7"/>
  <c r="D78" i="7" s="1"/>
  <c r="D79" i="7" s="1"/>
  <c r="D80" i="7" s="1"/>
  <c r="D81" i="7" s="1"/>
  <c r="D82" i="7" s="1"/>
  <c r="D83" i="7" s="1"/>
  <c r="D84" i="7" s="1"/>
  <c r="D85" i="7" s="1"/>
  <c r="D86" i="7" s="1"/>
  <c r="D87" i="7" s="1"/>
  <c r="D88" i="7" s="1"/>
  <c r="D89" i="7"/>
  <c r="D90" i="7" s="1"/>
  <c r="D91" i="7" s="1"/>
  <c r="D92" i="7" s="1"/>
  <c r="D93" i="7" s="1"/>
  <c r="D94" i="7" s="1"/>
  <c r="D95" i="7" s="1"/>
  <c r="D96" i="7" s="1"/>
  <c r="D97" i="7" s="1"/>
  <c r="D98" i="7" s="1"/>
  <c r="D99" i="7" s="1"/>
  <c r="D100" i="7" s="1"/>
  <c r="D101" i="7"/>
  <c r="D102" i="7" s="1"/>
  <c r="D103" i="7" s="1"/>
  <c r="D104" i="7" s="1"/>
  <c r="D105" i="7" s="1"/>
  <c r="D106" i="7" s="1"/>
  <c r="D107" i="7" s="1"/>
  <c r="D108" i="7" s="1"/>
  <c r="D109" i="7" s="1"/>
  <c r="D110" i="7" s="1"/>
  <c r="D111" i="7" s="1"/>
  <c r="D112" i="7" s="1"/>
  <c r="D113" i="7"/>
  <c r="D114" i="7" s="1"/>
  <c r="D115" i="7" s="1"/>
  <c r="D116" i="7" s="1"/>
  <c r="D117" i="7" s="1"/>
  <c r="D118" i="7" s="1"/>
  <c r="D119" i="7" s="1"/>
  <c r="D120" i="7" s="1"/>
  <c r="D121" i="7" s="1"/>
  <c r="D122" i="7" s="1"/>
  <c r="D123" i="7" s="1"/>
  <c r="D124" i="7" s="1"/>
  <c r="D125" i="7"/>
  <c r="D126" i="7" s="1"/>
  <c r="D127" i="7" s="1"/>
  <c r="D128" i="7" s="1"/>
  <c r="D129" i="7" s="1"/>
  <c r="D130" i="7" s="1"/>
  <c r="D131" i="7" s="1"/>
  <c r="D132" i="7" s="1"/>
  <c r="D133" i="7" s="1"/>
  <c r="D134" i="7" s="1"/>
  <c r="D135" i="7" s="1"/>
  <c r="D136" i="7" s="1"/>
  <c r="D5" i="7"/>
  <c r="J14" i="6"/>
  <c r="J13" i="6"/>
  <c r="J12" i="6"/>
  <c r="J11" i="6"/>
  <c r="J10" i="6"/>
  <c r="J9" i="6"/>
  <c r="J8" i="6"/>
  <c r="J7" i="6"/>
  <c r="J6" i="6"/>
  <c r="J5" i="6"/>
  <c r="J4" i="6"/>
  <c r="I5" i="5"/>
  <c r="P5" i="10"/>
  <c r="P6" i="10"/>
  <c r="P7" i="10"/>
  <c r="P8" i="10"/>
  <c r="P9" i="10"/>
  <c r="P10" i="10"/>
  <c r="P11" i="10"/>
  <c r="P12" i="10"/>
  <c r="P4" i="10"/>
</calcChain>
</file>

<file path=xl/sharedStrings.xml><?xml version="1.0" encoding="utf-8"?>
<sst xmlns="http://schemas.openxmlformats.org/spreadsheetml/2006/main" count="137" uniqueCount="89">
  <si>
    <t>Importations</t>
  </si>
  <si>
    <t xml:space="preserve">           jet kérosène</t>
  </si>
  <si>
    <t xml:space="preserve">           gaz de pétrole liquéfié (GPL)</t>
  </si>
  <si>
    <t xml:space="preserve">           fioul lourd</t>
  </si>
  <si>
    <t xml:space="preserve">           produits non énergétiques*</t>
  </si>
  <si>
    <t>Exportations</t>
  </si>
  <si>
    <t xml:space="preserve">          supercarburants</t>
  </si>
  <si>
    <t xml:space="preserve">          fioul lourd</t>
  </si>
  <si>
    <t xml:space="preserve">          produits non énergétiques*</t>
  </si>
  <si>
    <t>$ / baril</t>
  </si>
  <si>
    <t>€ / baril</t>
  </si>
  <si>
    <t>Tableau 2 : prix moyens des produits raffinés à l’importation et à l’exportation</t>
  </si>
  <si>
    <t>En $US/baril</t>
  </si>
  <si>
    <t>En €/baril</t>
  </si>
  <si>
    <t>Tableau 3 : prix à la consommation des carburants (biocarburants inclus)</t>
  </si>
  <si>
    <t>En euros courants</t>
  </si>
  <si>
    <t>Gazole (€/l)</t>
  </si>
  <si>
    <t>HTT</t>
  </si>
  <si>
    <t>TTC</t>
  </si>
  <si>
    <t>SP98 (€/l)</t>
  </si>
  <si>
    <t>SP95-E10 (€/l)</t>
  </si>
  <si>
    <t>SP95 (€/l)</t>
  </si>
  <si>
    <t>Gaz de pétrole liquéfié - carburant (€/l)</t>
  </si>
  <si>
    <t xml:space="preserve">Graphique 2 : évolution du prix TTC des carburants </t>
  </si>
  <si>
    <t>Gazole</t>
  </si>
  <si>
    <t>SP95</t>
  </si>
  <si>
    <t>SP98</t>
  </si>
  <si>
    <t>SP95-E10</t>
  </si>
  <si>
    <t>Tableau 4 : prix à la consommation des combustibles pétroliers</t>
  </si>
  <si>
    <t>Fioul domestique (€/l)</t>
  </si>
  <si>
    <t>Gaz propane liquéfié (€/MWh PCI*)</t>
  </si>
  <si>
    <t>Gaz butane (bouteille de 13 kg en €)</t>
  </si>
  <si>
    <t>Graphique 3 : évolution des prix TTC du fioul domestique, du propane et du butane</t>
  </si>
  <si>
    <t>année</t>
  </si>
  <si>
    <t>Prix du butane en bouteille</t>
  </si>
  <si>
    <t xml:space="preserve">Prix du propane en citerne </t>
  </si>
  <si>
    <t>Prix du fioul domestique</t>
  </si>
  <si>
    <t>* Y compris des condensats à destination du raffinage et de la pétrochimie, des additifs oxygénés (non issus de biomasse) et d’autres produits à distiller.</t>
  </si>
  <si>
    <t>* Naphta, bitumes, lubrifiants.</t>
  </si>
  <si>
    <t>En euros courants par tep</t>
  </si>
  <si>
    <r>
      <t xml:space="preserve">Graphique 1 : cours moyen mensuel du baril de </t>
    </r>
    <r>
      <rPr>
        <b/>
        <i/>
        <sz val="10"/>
        <rFont val="Arial"/>
        <family val="2"/>
      </rPr>
      <t>Brent</t>
    </r>
    <r>
      <rPr>
        <b/>
        <sz val="10"/>
        <rFont val="Arial"/>
        <family val="2"/>
      </rPr>
      <t xml:space="preserve"> daté</t>
    </r>
  </si>
  <si>
    <t>En euros constants de 2023 par litre</t>
  </si>
  <si>
    <t>* PCI = pouvoir calorifique inférieur.</t>
  </si>
  <si>
    <t>* PCI = pouvoir calorifique inférieur.</t>
  </si>
  <si>
    <t>En euros constants de 2023 par MWh PCI*</t>
  </si>
  <si>
    <t xml:space="preserve">   dont gazole/fioul domestique</t>
  </si>
  <si>
    <t>-</t>
  </si>
  <si>
    <t>Superéthanol E85</t>
  </si>
  <si>
    <t>Supercarburant</t>
  </si>
  <si>
    <t>Taxes hors TVA</t>
  </si>
  <si>
    <t>IPC</t>
  </si>
  <si>
    <t>Butane</t>
  </si>
  <si>
    <t>Propane</t>
  </si>
  <si>
    <t>Fioul domestique</t>
  </si>
  <si>
    <t>2019</t>
  </si>
  <si>
    <t>Base 100 en 1990</t>
  </si>
  <si>
    <t>Graphique 4 : prix des combustibles</t>
  </si>
  <si>
    <t>Champ : France continentale.</t>
  </si>
  <si>
    <t>Évolution 2024-2025</t>
  </si>
  <si>
    <t>Moyennes annuelles en $US/baril</t>
  </si>
  <si>
    <t>Champ : France.</t>
  </si>
  <si>
    <t>Note : le prix HTT comprend le coût de la matière première et les coûts de raffinage, de stockage et de transport-distribution. Les taxes hors TVA sont constituées de l’accise perçue en métropole sur les produits énergétiques, autres que les gaz naturels et les charbons, majorations régionales incluses. Le prix TTC correspond au prix acquitté par les consommateurs.</t>
  </si>
  <si>
    <t>Graphique 2 : indice annuel des prix TTC des carburants</t>
  </si>
  <si>
    <t>Année</t>
  </si>
  <si>
    <t>Super</t>
  </si>
  <si>
    <t>Note : la série « Super » correspond à l'agrégat des supercarburants pondéré par les volumes correspondants.</t>
  </si>
  <si>
    <t>* GPLc = gaz propane liquéfié carburant.</t>
  </si>
  <si>
    <t>Base 100 en 1990 sauf GPLc* (base 100 en 1997)</t>
  </si>
  <si>
    <t>GPLc*</t>
  </si>
  <si>
    <t>* PCI = pouvoir calorifique inférieur ; (e) = estimation.</t>
  </si>
  <si>
    <t>En €/MWh PCI*, euros courants</t>
  </si>
  <si>
    <t>Champ : France continentale.</t>
  </si>
  <si>
    <t>Gazole non routier (€/l)
(livraisons inférieures à 5 000 l)</t>
  </si>
  <si>
    <t>Tableau 1 : prix moyen à l’importation du pétrole brut*</t>
  </si>
  <si>
    <t>Champ : France continentale pour le fioul domestique, France métropolitaine pour le butane et le propane.</t>
  </si>
  <si>
    <r>
      <t xml:space="preserve">Note : les moyennes mensuelles sont les moyennes des cotations quotidiennes du </t>
    </r>
    <r>
      <rPr>
        <sz val="10"/>
        <color rgb="FF000000"/>
        <rFont val="Arial"/>
        <family val="2"/>
      </rPr>
      <t>Brent</t>
    </r>
    <r>
      <rPr>
        <i/>
        <sz val="10"/>
        <color rgb="FF000000"/>
        <rFont val="Arial"/>
        <family val="2"/>
      </rPr>
      <t xml:space="preserve"> daté en clôture à Londres.</t>
    </r>
  </si>
  <si>
    <r>
      <t>Sources</t>
    </r>
    <r>
      <rPr>
        <i/>
        <sz val="10"/>
        <color rgb="FF000000"/>
        <rFont val="Arial"/>
        <family val="2"/>
      </rPr>
      <t xml:space="preserve"> </t>
    </r>
    <r>
      <rPr>
        <b/>
        <i/>
        <sz val="10"/>
        <color rgb="FF000000"/>
        <rFont val="Arial"/>
        <family val="2"/>
      </rPr>
      <t>:</t>
    </r>
    <r>
      <rPr>
        <i/>
        <sz val="10"/>
        <color rgb="FF000000"/>
        <rFont val="Arial"/>
        <family val="2"/>
      </rPr>
      <t xml:space="preserve"> Reuters ; DGEC</t>
    </r>
  </si>
  <si>
    <r>
      <t>Sources</t>
    </r>
    <r>
      <rPr>
        <sz val="10"/>
        <color theme="1"/>
        <rFont val="Arial"/>
        <family val="2"/>
      </rPr>
      <t> </t>
    </r>
    <r>
      <rPr>
        <b/>
        <sz val="10"/>
        <color theme="1"/>
        <rFont val="Arial"/>
        <family val="2"/>
      </rPr>
      <t>:</t>
    </r>
    <r>
      <rPr>
        <sz val="10"/>
        <color theme="1"/>
        <rFont val="Arial"/>
        <family val="2"/>
      </rPr>
      <t xml:space="preserve"> DGEC ; Insee ; SDES</t>
    </r>
  </si>
  <si>
    <r>
      <t>Sources</t>
    </r>
    <r>
      <rPr>
        <sz val="10"/>
        <color theme="1"/>
        <rFont val="Arial"/>
        <family val="2"/>
      </rPr>
      <t> </t>
    </r>
    <r>
      <rPr>
        <b/>
        <sz val="10"/>
        <color theme="1"/>
        <rFont val="Arial"/>
        <family val="2"/>
      </rPr>
      <t xml:space="preserve">: </t>
    </r>
    <r>
      <rPr>
        <sz val="10"/>
        <color theme="1"/>
        <rFont val="Arial"/>
        <family val="2"/>
      </rPr>
      <t>DGEC; Insee ; calculs SDES</t>
    </r>
  </si>
  <si>
    <r>
      <t>Sources</t>
    </r>
    <r>
      <rPr>
        <i/>
        <sz val="10"/>
        <color theme="1"/>
        <rFont val="Arial"/>
        <family val="2"/>
      </rPr>
      <t> </t>
    </r>
    <r>
      <rPr>
        <b/>
        <i/>
        <sz val="10"/>
        <color theme="1"/>
        <rFont val="Arial"/>
        <family val="2"/>
      </rPr>
      <t>:</t>
    </r>
    <r>
      <rPr>
        <i/>
        <sz val="10"/>
        <color theme="1"/>
        <rFont val="Arial"/>
        <family val="2"/>
      </rPr>
      <t xml:space="preserve"> DGEC ; Insee ; SDES</t>
    </r>
  </si>
  <si>
    <r>
      <t>Graphique 3</t>
    </r>
    <r>
      <rPr>
        <sz val="10"/>
        <color theme="1"/>
        <rFont val="Calibri"/>
        <family val="2"/>
        <scheme val="minor"/>
      </rPr>
      <t> </t>
    </r>
    <r>
      <rPr>
        <b/>
        <sz val="10"/>
        <color theme="1"/>
        <rFont val="Arial"/>
        <family val="2"/>
      </rPr>
      <t> : indice des prix des combustibles</t>
    </r>
  </si>
  <si>
    <r>
      <t>Sources</t>
    </r>
    <r>
      <rPr>
        <i/>
        <sz val="10"/>
        <color theme="1"/>
        <rFont val="Arial"/>
        <family val="2"/>
      </rPr>
      <t> </t>
    </r>
    <r>
      <rPr>
        <b/>
        <i/>
        <sz val="10"/>
        <color theme="1"/>
        <rFont val="Arial"/>
        <family val="2"/>
      </rPr>
      <t xml:space="preserve">: </t>
    </r>
    <r>
      <rPr>
        <i/>
        <sz val="10"/>
        <color theme="1"/>
        <rFont val="Arial"/>
        <family val="2"/>
      </rPr>
      <t>DGEC ; Insee ; SDES</t>
    </r>
  </si>
  <si>
    <r>
      <rPr>
        <b/>
        <i/>
        <sz val="10"/>
        <color theme="1"/>
        <rFont val="Arial"/>
        <family val="2"/>
      </rPr>
      <t xml:space="preserve">Sources : </t>
    </r>
    <r>
      <rPr>
        <i/>
        <sz val="10"/>
        <color theme="1"/>
        <rFont val="Arial"/>
        <family val="2"/>
      </rPr>
      <t>DGEC (fioul domestique et lourd) ; Insee (butane) ; SDES (propane)</t>
    </r>
  </si>
  <si>
    <r>
      <t>Sources</t>
    </r>
    <r>
      <rPr>
        <i/>
        <sz val="10"/>
        <color theme="1"/>
        <rFont val="Arial"/>
        <family val="2"/>
      </rPr>
      <t> </t>
    </r>
    <r>
      <rPr>
        <b/>
        <i/>
        <sz val="10"/>
        <color theme="1"/>
        <rFont val="Arial"/>
        <family val="2"/>
      </rPr>
      <t>:</t>
    </r>
    <r>
      <rPr>
        <i/>
        <sz val="10"/>
        <color theme="1"/>
        <rFont val="Arial"/>
        <family val="2"/>
      </rPr>
      <t xml:space="preserve"> DGEC; Insee ; calculs SDES</t>
    </r>
  </si>
  <si>
    <r>
      <t>En euros courants</t>
    </r>
    <r>
      <rPr>
        <sz val="10"/>
        <color theme="1"/>
        <rFont val="Calibri"/>
        <family val="2"/>
        <scheme val="minor"/>
      </rPr>
      <t> </t>
    </r>
  </si>
  <si>
    <r>
      <rPr>
        <b/>
        <i/>
        <sz val="10"/>
        <color theme="1"/>
        <rFont val="Calibri"/>
        <family val="2"/>
        <scheme val="minor"/>
      </rPr>
      <t>Source :</t>
    </r>
    <r>
      <rPr>
        <i/>
        <sz val="10"/>
        <color theme="1"/>
        <rFont val="Calibri"/>
        <family val="2"/>
        <scheme val="minor"/>
      </rPr>
      <t xml:space="preserve"> DGEC</t>
    </r>
  </si>
  <si>
    <r>
      <rPr>
        <b/>
        <i/>
        <sz val="10"/>
        <rFont val="Arial"/>
        <family val="2"/>
      </rPr>
      <t>Source :</t>
    </r>
    <r>
      <rPr>
        <i/>
        <sz val="10"/>
        <rFont val="Arial"/>
        <family val="2"/>
      </rPr>
      <t xml:space="preserve"> calculs SDES, d'après DGDDI</t>
    </r>
  </si>
  <si>
    <t>En euros par tep</t>
  </si>
  <si>
    <r>
      <t>Sources</t>
    </r>
    <r>
      <rPr>
        <i/>
        <sz val="10"/>
        <color rgb="FF000000"/>
        <rFont val="Arial"/>
        <family val="2"/>
      </rPr>
      <t xml:space="preserve"> </t>
    </r>
    <r>
      <rPr>
        <b/>
        <i/>
        <sz val="10"/>
        <color rgb="FF000000"/>
        <rFont val="Arial"/>
        <family val="2"/>
      </rPr>
      <t>:</t>
    </r>
    <r>
      <rPr>
        <i/>
        <sz val="10"/>
        <color rgb="FF000000"/>
        <rFont val="Arial"/>
        <family val="2"/>
      </rPr>
      <t xml:space="preserve"> SDES, enquête auprès des raffineurs ; DGDDI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</si>
</sst>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2" formatCode="_-* #,##0\ &quot;€&quot;_-;\-* #,##0\ &quot;€&quot;_-;_-* &quot;-&quot;\ &quot;€&quot;_-;_-@_-"/>
    <numFmt numFmtId="44" formatCode="_-* #,##0.00\ &quot;€&quot;_-;\-* #,##0.00\ &quot;€&quot;_-;_-* &quot;-&quot;??\ &quot;€&quot;_-;_-@_-"/>
    <numFmt numFmtId="43" formatCode="_-* #,##0.00_-;\-* #,##0.00_-;_-* &quot;-&quot;??_-;_-@_-"/>
    <numFmt numFmtId="164" formatCode="0.0%"/>
    <numFmt numFmtId="165" formatCode="###,###,##0.0;\-\ ###,###,##0.0;\-"/>
    <numFmt numFmtId="166" formatCode="[$-40C]mmm\-yy;@"/>
    <numFmt numFmtId="167" formatCode="0.00000"/>
    <numFmt numFmtId="168" formatCode="_-* #,##0.00\ _€_-;\-* #,##0.00\ _€_-;_-* &quot;-&quot;??\ _€_-;_-@_-"/>
    <numFmt numFmtId="169" formatCode="_-* #,##0\ _€_-;\-* #,##0\ _€_-;_-* &quot;-&quot;\ _€_-;_-@_-"/>
    <numFmt numFmtId="170" formatCode="_-* #,##0.00\ _F_-;\-* #,##0.00\ _F_-;_-* &quot;-&quot;??\ _F_-;_-@_-"/>
    <numFmt numFmtId="171" formatCode="_(&quot;$&quot;* #,##0.00_);_(&quot;$&quot;* \(#,##0.00\);_(&quot;$&quot;* &quot;-&quot;??_);_(@_)"/>
    <numFmt numFmtId="172" formatCode="0.0"/>
    <numFmt numFmtId="173" formatCode="_-* #,##0.00000\ _€_-;\-* #,##0.00000\ _€_-;_-* &quot;-&quot;?????\ _€_-;_-@_-"/>
    <numFmt numFmtId="174" formatCode="0.0000"/>
    <numFmt numFmtId="175" formatCode="&quot;(e)&quot;\ 0.0"/>
  </numFmts>
  <fonts count="47">
    <font>
      <sz val="11"/>
      <color theme="1"/>
      <name val="Calibri"/>
      <family val="2"/>
      <scheme val="minor"/>
    </font>
    <font>
      <sz val="11"/>
      <color theme="1"/>
      <name val="Calibri"/>
      <family val="2"/>
      <scheme val="minor"/>
    </font>
    <font>
      <b/>
      <sz val="10"/>
      <name val="Arial"/>
      <family val="2"/>
    </font>
    <font>
      <sz val="10"/>
      <name val="Arial"/>
      <family val="2"/>
    </font>
    <font>
      <sz val="10"/>
      <name val="Arial"/>
      <family val="2"/>
    </font>
    <font>
      <i/>
      <sz val="10"/>
      <name val="Arial"/>
      <family val="2"/>
    </font>
    <font>
      <i/>
      <sz val="10"/>
      <color rgb="FFFF0000"/>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1"/>
      <color indexed="8"/>
      <name val="Calibri"/>
      <family val="2"/>
    </font>
    <font>
      <b/>
      <sz val="11"/>
      <color indexed="9"/>
      <name val="Calibri"/>
      <family val="2"/>
    </font>
    <font>
      <sz val="11"/>
      <color indexed="20"/>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0"/>
      <color theme="1"/>
      <name val="Arial"/>
      <family val="2"/>
    </font>
    <font>
      <sz val="11"/>
      <color theme="1"/>
      <name val="Calibri"/>
      <family val="2"/>
      <charset val="128"/>
      <scheme val="minor"/>
    </font>
    <font>
      <sz val="11"/>
      <color indexed="8"/>
      <name val="Arial"/>
      <family val="2"/>
    </font>
    <font>
      <sz val="11"/>
      <color rgb="FF000000"/>
      <name val="Calibri"/>
      <family val="2"/>
      <scheme val="minor"/>
    </font>
    <font>
      <sz val="10"/>
      <color rgb="FFFF0000"/>
      <name val="Arial"/>
      <family val="2"/>
    </font>
    <font>
      <b/>
      <i/>
      <sz val="10"/>
      <name val="Arial"/>
      <family val="2"/>
    </font>
    <font>
      <b/>
      <sz val="10"/>
      <color theme="0"/>
      <name val="Arial"/>
      <family val="2"/>
    </font>
    <font>
      <b/>
      <i/>
      <sz val="10"/>
      <color theme="0"/>
      <name val="Arial"/>
      <family val="2"/>
    </font>
    <font>
      <sz val="10"/>
      <color theme="1"/>
      <name val="Calibri"/>
      <family val="2"/>
      <scheme val="minor"/>
    </font>
    <font>
      <i/>
      <sz val="10"/>
      <color rgb="FF000000"/>
      <name val="Arial"/>
      <family val="2"/>
    </font>
    <font>
      <sz val="10"/>
      <color rgb="FF000000"/>
      <name val="Arial"/>
      <family val="2"/>
    </font>
    <font>
      <b/>
      <i/>
      <sz val="10"/>
      <color rgb="FF000000"/>
      <name val="Arial"/>
      <family val="2"/>
    </font>
    <font>
      <b/>
      <sz val="10"/>
      <color theme="1"/>
      <name val="Arial"/>
      <family val="2"/>
    </font>
    <font>
      <i/>
      <sz val="10"/>
      <color theme="1"/>
      <name val="Arial"/>
      <family val="2"/>
    </font>
    <font>
      <b/>
      <i/>
      <sz val="10"/>
      <color theme="1"/>
      <name val="Arial"/>
      <family val="2"/>
    </font>
    <font>
      <sz val="10"/>
      <color theme="0" tint="-0.499984740745262"/>
      <name val="Calibri"/>
      <family val="2"/>
      <scheme val="minor"/>
    </font>
    <font>
      <b/>
      <sz val="10"/>
      <color indexed="9"/>
      <name val="Arial"/>
      <family val="2"/>
    </font>
    <font>
      <i/>
      <sz val="10"/>
      <color theme="1"/>
      <name val="Calibri"/>
      <family val="2"/>
      <scheme val="minor"/>
    </font>
    <font>
      <b/>
      <i/>
      <sz val="10"/>
      <color theme="1"/>
      <name val="Calibri"/>
      <family val="2"/>
      <scheme val="minor"/>
    </font>
  </fonts>
  <fills count="44">
    <fill>
      <patternFill patternType="none"/>
    </fill>
    <fill>
      <patternFill patternType="gray125"/>
    </fill>
    <fill>
      <patternFill patternType="solid">
        <fgColor indexed="9"/>
        <bgColor indexed="26"/>
      </patternFill>
    </fill>
    <fill>
      <patternFill patternType="solid">
        <fgColor indexed="47"/>
        <bgColor indexed="22"/>
      </patternFill>
    </fill>
    <fill>
      <patternFill patternType="solid">
        <fgColor indexed="26"/>
        <bgColor indexed="9"/>
      </patternFill>
    </fill>
    <fill>
      <patternFill patternType="solid">
        <fgColor indexed="27"/>
      </patternFill>
    </fill>
    <fill>
      <patternFill patternType="solid">
        <fgColor indexed="27"/>
        <bgColor indexed="41"/>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7"/>
      </patternFill>
    </fill>
    <fill>
      <patternFill patternType="solid">
        <fgColor indexed="22"/>
      </patternFill>
    </fill>
    <fill>
      <patternFill patternType="solid">
        <fgColor indexed="22"/>
        <bgColor indexed="31"/>
      </patternFill>
    </fill>
    <fill>
      <patternFill patternType="solid">
        <fgColor indexed="29"/>
      </patternFill>
    </fill>
    <fill>
      <patternFill patternType="solid">
        <fgColor indexed="29"/>
        <bgColor indexed="45"/>
      </patternFill>
    </fill>
    <fill>
      <patternFill patternType="solid">
        <fgColor indexed="43"/>
      </patternFill>
    </fill>
    <fill>
      <patternFill patternType="solid">
        <fgColor indexed="43"/>
        <bgColor indexed="26"/>
      </patternFill>
    </fill>
    <fill>
      <patternFill patternType="solid">
        <fgColor indexed="44"/>
      </patternFill>
    </fill>
    <fill>
      <patternFill patternType="solid">
        <fgColor indexed="44"/>
        <bgColor indexed="31"/>
      </patternFill>
    </fill>
    <fill>
      <patternFill patternType="solid">
        <fgColor indexed="11"/>
      </patternFill>
    </fill>
    <fill>
      <patternFill patternType="solid">
        <fgColor indexed="51"/>
      </patternFill>
    </fill>
    <fill>
      <patternFill patternType="solid">
        <fgColor indexed="49"/>
      </patternFill>
    </fill>
    <fill>
      <patternFill patternType="solid">
        <fgColor indexed="49"/>
        <bgColor indexed="40"/>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4"/>
        <bgColor indexed="23"/>
      </patternFill>
    </fill>
    <fill>
      <patternFill patternType="solid">
        <fgColor indexed="53"/>
      </patternFill>
    </fill>
    <fill>
      <patternFill patternType="solid">
        <fgColor indexed="53"/>
        <bgColor indexed="52"/>
      </patternFill>
    </fill>
    <fill>
      <patternFill patternType="solid">
        <fgColor indexed="55"/>
      </patternFill>
    </fill>
    <fill>
      <patternFill patternType="solid">
        <fgColor indexed="45"/>
        <bgColor indexed="29"/>
      </patternFill>
    </fill>
    <fill>
      <patternFill patternType="solid">
        <fgColor indexed="42"/>
        <bgColor indexed="27"/>
      </patternFill>
    </fill>
    <fill>
      <patternFill patternType="solid">
        <fgColor indexed="55"/>
        <bgColor indexed="23"/>
      </patternFill>
    </fill>
    <fill>
      <patternFill patternType="solid">
        <fgColor theme="0"/>
      </patternFill>
    </fill>
    <fill>
      <patternFill patternType="solid">
        <fgColor indexed="9"/>
        <bgColor indexed="64"/>
      </patternFill>
    </fill>
    <fill>
      <patternFill patternType="solid">
        <fgColor theme="4"/>
        <bgColor indexed="64"/>
      </patternFill>
    </fill>
    <fill>
      <patternFill patternType="solid">
        <fgColor rgb="FF417DC4"/>
        <bgColor indexed="64"/>
      </patternFill>
    </fill>
    <fill>
      <patternFill patternType="solid">
        <fgColor rgb="FFB8CCE4"/>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style="thin">
        <color indexed="62"/>
      </top>
      <bottom style="double">
        <color indexed="62"/>
      </bottom>
      <diagonal/>
    </border>
    <border>
      <left style="thin">
        <color indexed="64"/>
      </left>
      <right/>
      <top style="thin">
        <color indexed="64"/>
      </top>
      <bottom style="thin">
        <color indexed="64"/>
      </bottom>
      <diagonal/>
    </border>
  </borders>
  <cellStyleXfs count="119">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3" fillId="0" borderId="0"/>
    <xf numFmtId="43" fontId="1" fillId="0" borderId="0" applyFont="0" applyFill="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2" borderId="0" applyNumberFormat="0" applyBorder="0" applyAlignment="0" applyProtection="0"/>
    <xf numFmtId="0" fontId="7" fillId="6" borderId="0" applyNumberFormat="0" applyBorder="0" applyAlignment="0" applyProtection="0"/>
    <xf numFmtId="0" fontId="7" fillId="3"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7" borderId="0" applyNumberFormat="0" applyBorder="0" applyAlignment="0" applyProtection="0"/>
    <xf numFmtId="0" fontId="7" fillId="13" borderId="0" applyNumberFormat="0" applyBorder="0" applyAlignment="0" applyProtection="0"/>
    <xf numFmtId="0" fontId="7" fillId="19" borderId="0" applyNumberFormat="0" applyBorder="0" applyAlignment="0" applyProtection="0"/>
    <xf numFmtId="0" fontId="7" fillId="3"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20" borderId="0" applyNumberFormat="0" applyBorder="0" applyAlignment="0" applyProtection="0"/>
    <xf numFmtId="0" fontId="7" fillId="10" borderId="0" applyNumberFormat="0" applyBorder="0" applyAlignment="0" applyProtection="0"/>
    <xf numFmtId="0" fontId="7" fillId="18" borderId="0" applyNumberFormat="0" applyBorder="0" applyAlignment="0" applyProtection="0"/>
    <xf numFmtId="0" fontId="7" fillId="21" borderId="0" applyNumberFormat="0" applyBorder="0" applyAlignment="0" applyProtection="0"/>
    <xf numFmtId="0" fontId="8" fillId="23" borderId="0" applyNumberFormat="0" applyBorder="0" applyAlignment="0" applyProtection="0"/>
    <xf numFmtId="0" fontId="8" fillId="15" borderId="0" applyNumberFormat="0" applyBorder="0" applyAlignment="0" applyProtection="0"/>
    <xf numFmtId="0" fontId="8" fillId="17" borderId="0" applyNumberFormat="0" applyBorder="0" applyAlignment="0" applyProtection="0"/>
    <xf numFmtId="0" fontId="8" fillId="13" borderId="0" applyNumberFormat="0" applyBorder="0" applyAlignment="0" applyProtection="0"/>
    <xf numFmtId="0" fontId="8" fillId="23" borderId="0" applyNumberFormat="0" applyBorder="0" applyAlignment="0" applyProtection="0"/>
    <xf numFmtId="0" fontId="8" fillId="3" borderId="0" applyNumberFormat="0" applyBorder="0" applyAlignment="0" applyProtection="0"/>
    <xf numFmtId="0" fontId="8" fillId="24" borderId="0" applyNumberFormat="0" applyBorder="0" applyAlignment="0" applyProtection="0"/>
    <xf numFmtId="0" fontId="8" fillId="14" borderId="0" applyNumberFormat="0" applyBorder="0" applyAlignment="0" applyProtection="0"/>
    <xf numFmtId="0" fontId="8" fillId="20" borderId="0" applyNumberFormat="0" applyBorder="0" applyAlignment="0" applyProtection="0"/>
    <xf numFmtId="0" fontId="8" fillId="25" borderId="0" applyNumberFormat="0" applyBorder="0" applyAlignment="0" applyProtection="0"/>
    <xf numFmtId="0" fontId="8" fillId="22"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3"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25" borderId="0" applyNumberFormat="0" applyBorder="0" applyAlignment="0" applyProtection="0"/>
    <xf numFmtId="0" fontId="8" fillId="32"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9" fillId="0" borderId="0" applyNumberFormat="0" applyFill="0" applyBorder="0" applyAlignment="0" applyProtection="0"/>
    <xf numFmtId="0" fontId="19" fillId="8" borderId="0" applyNumberFormat="0" applyBorder="0" applyAlignment="0" applyProtection="0"/>
    <xf numFmtId="0" fontId="10" fillId="2" borderId="7" applyNumberFormat="0" applyAlignment="0" applyProtection="0"/>
    <xf numFmtId="0" fontId="10" fillId="12" borderId="7" applyNumberFormat="0" applyAlignment="0" applyProtection="0"/>
    <xf numFmtId="0" fontId="11" fillId="0" borderId="8" applyNumberFormat="0" applyFill="0" applyAlignment="0" applyProtection="0"/>
    <xf numFmtId="0" fontId="18" fillId="35" borderId="9" applyNumberFormat="0" applyAlignment="0" applyProtection="0"/>
    <xf numFmtId="168" fontId="3" fillId="0" borderId="0" applyFont="0" applyFill="0" applyBorder="0" applyAlignment="0" applyProtection="0"/>
    <xf numFmtId="169"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171" fontId="3" fillId="0" borderId="0" applyFont="0" applyFill="0" applyBorder="0" applyAlignment="0" applyProtection="0"/>
    <xf numFmtId="0" fontId="12" fillId="3" borderId="7" applyNumberFormat="0" applyAlignment="0" applyProtection="0"/>
    <xf numFmtId="0" fontId="16" fillId="0" borderId="0" applyNumberFormat="0" applyFill="0" applyBorder="0" applyAlignment="0" applyProtection="0"/>
    <xf numFmtId="0" fontId="14" fillId="9" borderId="0" applyNumberFormat="0" applyBorder="0" applyAlignment="0" applyProtection="0"/>
    <xf numFmtId="0" fontId="20" fillId="0" borderId="10" applyNumberFormat="0" applyFill="0" applyAlignment="0" applyProtection="0"/>
    <xf numFmtId="0" fontId="21" fillId="0" borderId="11" applyNumberFormat="0" applyFill="0" applyAlignment="0" applyProtection="0"/>
    <xf numFmtId="0" fontId="22" fillId="0" borderId="12" applyNumberFormat="0" applyFill="0" applyAlignment="0" applyProtection="0"/>
    <xf numFmtId="0" fontId="22" fillId="0" borderId="0" applyNumberFormat="0" applyFill="0" applyBorder="0" applyAlignment="0" applyProtection="0"/>
    <xf numFmtId="0" fontId="12" fillId="11" borderId="7" applyNumberFormat="0" applyAlignment="0" applyProtection="0"/>
    <xf numFmtId="0" fontId="19" fillId="36" borderId="0" applyNumberFormat="0" applyBorder="0" applyAlignment="0" applyProtection="0"/>
    <xf numFmtId="0" fontId="11" fillId="0" borderId="8" applyNumberFormat="0" applyFill="0" applyAlignment="0" applyProtection="0"/>
    <xf numFmtId="43" fontId="3" fillId="0" borderId="0" applyFont="0" applyFill="0" applyBorder="0" applyAlignment="0" applyProtection="0"/>
    <xf numFmtId="170" fontId="3" fillId="0" borderId="0" applyFont="0" applyFill="0" applyBorder="0" applyAlignment="0" applyProtection="0"/>
    <xf numFmtId="168" fontId="3" fillId="0" borderId="0" applyFont="0" applyFill="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 fillId="0" borderId="0"/>
    <xf numFmtId="0" fontId="28" fillId="39" borderId="0"/>
    <xf numFmtId="0" fontId="7" fillId="0" borderId="0"/>
    <xf numFmtId="0" fontId="28" fillId="39" borderId="0"/>
    <xf numFmtId="0" fontId="3" fillId="0" borderId="0"/>
    <xf numFmtId="0" fontId="28" fillId="39" borderId="0"/>
    <xf numFmtId="0" fontId="3" fillId="0" borderId="0"/>
    <xf numFmtId="0" fontId="29" fillId="0" borderId="0">
      <alignment vertical="center"/>
    </xf>
    <xf numFmtId="0" fontId="15" fillId="12" borderId="13"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4" fillId="37" borderId="0" applyNumberFormat="0" applyBorder="0" applyAlignment="0" applyProtection="0"/>
    <xf numFmtId="0" fontId="15" fillId="2" borderId="13" applyNumberFormat="0" applyAlignment="0" applyProtection="0"/>
    <xf numFmtId="0" fontId="16"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14" applyNumberFormat="0" applyFill="0" applyAlignment="0" applyProtection="0"/>
    <xf numFmtId="0" fontId="26" fillId="0" borderId="11" applyNumberFormat="0" applyFill="0" applyAlignment="0" applyProtection="0"/>
    <xf numFmtId="0" fontId="27" fillId="0" borderId="15" applyNumberFormat="0" applyFill="0" applyAlignment="0" applyProtection="0"/>
    <xf numFmtId="0" fontId="27" fillId="0" borderId="0" applyNumberFormat="0" applyFill="0" applyBorder="0" applyAlignment="0" applyProtection="0"/>
    <xf numFmtId="0" fontId="17" fillId="0" borderId="17" applyNumberFormat="0" applyFill="0" applyAlignment="0" applyProtection="0"/>
    <xf numFmtId="0" fontId="17" fillId="0" borderId="16" applyNumberFormat="0" applyFill="0" applyAlignment="0" applyProtection="0"/>
    <xf numFmtId="0" fontId="18" fillId="38" borderId="9" applyNumberFormat="0" applyAlignment="0" applyProtection="0"/>
    <xf numFmtId="0" fontId="9" fillId="0" borderId="0" applyNumberFormat="0" applyFill="0" applyBorder="0" applyAlignment="0" applyProtection="0"/>
    <xf numFmtId="0" fontId="30" fillId="0" borderId="0"/>
    <xf numFmtId="0" fontId="1" fillId="0" borderId="0"/>
    <xf numFmtId="0" fontId="3" fillId="0" borderId="0"/>
    <xf numFmtId="9" fontId="3" fillId="0" borderId="0" applyFont="0" applyFill="0" applyBorder="0" applyAlignment="0" applyProtection="0"/>
    <xf numFmtId="0" fontId="1" fillId="0" borderId="0"/>
    <xf numFmtId="0" fontId="31" fillId="0" borderId="0"/>
    <xf numFmtId="0" fontId="1" fillId="0" borderId="0"/>
    <xf numFmtId="0" fontId="1" fillId="0" borderId="0"/>
    <xf numFmtId="0" fontId="3"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168" fontId="3" fillId="0" borderId="0" applyFont="0" applyFill="0" applyBorder="0" applyAlignment="0" applyProtection="0"/>
    <xf numFmtId="0" fontId="3" fillId="0" borderId="0"/>
  </cellStyleXfs>
  <cellXfs count="89">
    <xf numFmtId="0" fontId="0" fillId="0" borderId="0" xfId="0"/>
    <xf numFmtId="0" fontId="2" fillId="0" borderId="0" xfId="0" applyFont="1" applyAlignment="1">
      <alignment horizontal="left" vertical="center"/>
    </xf>
    <xf numFmtId="0" fontId="3" fillId="0" borderId="0" xfId="0" applyFont="1"/>
    <xf numFmtId="9" fontId="5" fillId="0" borderId="0" xfId="1" applyFont="1" applyFill="1"/>
    <xf numFmtId="0" fontId="3" fillId="0" borderId="0" xfId="0" applyFont="1" applyFill="1" applyBorder="1"/>
    <xf numFmtId="0" fontId="2" fillId="0" borderId="0" xfId="0" applyFont="1" applyAlignment="1"/>
    <xf numFmtId="0" fontId="3" fillId="0" borderId="0" xfId="0" applyFont="1" applyAlignment="1">
      <alignment wrapText="1"/>
    </xf>
    <xf numFmtId="9" fontId="6" fillId="0" borderId="0" xfId="1" applyFont="1" applyFill="1"/>
    <xf numFmtId="1" fontId="3" fillId="0" borderId="0" xfId="0" applyNumberFormat="1" applyFont="1"/>
    <xf numFmtId="0" fontId="32" fillId="0" borderId="0" xfId="0" applyFont="1"/>
    <xf numFmtId="0" fontId="34" fillId="42" borderId="18" xfId="0" applyFont="1" applyFill="1" applyBorder="1" applyAlignment="1">
      <alignment horizontal="center" vertical="center" wrapText="1"/>
    </xf>
    <xf numFmtId="0" fontId="34" fillId="42" borderId="1" xfId="0" applyFont="1" applyFill="1" applyBorder="1" applyAlignment="1">
      <alignment horizontal="center" vertical="center" wrapText="1"/>
    </xf>
    <xf numFmtId="0" fontId="35" fillId="42" borderId="18" xfId="0" applyFont="1" applyFill="1" applyBorder="1" applyAlignment="1">
      <alignment horizontal="center" vertical="center" wrapText="1"/>
    </xf>
    <xf numFmtId="0" fontId="3" fillId="0" borderId="1" xfId="0" applyFont="1" applyBorder="1"/>
    <xf numFmtId="1" fontId="3" fillId="0" borderId="1" xfId="0" applyNumberFormat="1" applyFont="1" applyBorder="1" applyAlignment="1">
      <alignment horizontal="center" vertical="center"/>
    </xf>
    <xf numFmtId="0" fontId="2" fillId="43" borderId="2" xfId="0" applyFont="1" applyFill="1" applyBorder="1"/>
    <xf numFmtId="3" fontId="2" fillId="43" borderId="2" xfId="3" applyNumberFormat="1" applyFont="1" applyFill="1" applyBorder="1" applyAlignment="1">
      <alignment horizontal="center" vertical="center"/>
    </xf>
    <xf numFmtId="164" fontId="33" fillId="43" borderId="2" xfId="1" applyNumberFormat="1" applyFont="1" applyFill="1" applyBorder="1" applyAlignment="1">
      <alignment horizontal="center" vertical="center"/>
    </xf>
    <xf numFmtId="164" fontId="5" fillId="0" borderId="4" xfId="1" applyNumberFormat="1" applyFont="1" applyBorder="1" applyAlignment="1">
      <alignment horizontal="center" vertical="center"/>
    </xf>
    <xf numFmtId="164" fontId="5" fillId="0" borderId="6" xfId="1" applyNumberFormat="1" applyFont="1" applyBorder="1" applyAlignment="1">
      <alignment horizontal="center" vertical="center"/>
    </xf>
    <xf numFmtId="0" fontId="36" fillId="0" borderId="0" xfId="0" applyFont="1"/>
    <xf numFmtId="14" fontId="36" fillId="0" borderId="0" xfId="0" applyNumberFormat="1" applyFont="1"/>
    <xf numFmtId="0" fontId="36" fillId="0" borderId="0" xfId="0" applyFont="1" applyAlignment="1">
      <alignment wrapText="1"/>
    </xf>
    <xf numFmtId="166" fontId="36" fillId="0" borderId="0" xfId="0" applyNumberFormat="1" applyFont="1"/>
    <xf numFmtId="166" fontId="36" fillId="0" borderId="0" xfId="0" applyNumberFormat="1" applyFont="1" applyAlignment="1">
      <alignment horizontal="center" vertical="center"/>
    </xf>
    <xf numFmtId="167" fontId="36" fillId="0" borderId="0" xfId="0" applyNumberFormat="1" applyFont="1"/>
    <xf numFmtId="43" fontId="36" fillId="0" borderId="0" xfId="4" applyFont="1"/>
    <xf numFmtId="0" fontId="37" fillId="0" borderId="0" xfId="0" applyFont="1" applyAlignment="1">
      <alignment vertical="center"/>
    </xf>
    <xf numFmtId="0" fontId="39" fillId="0" borderId="0" xfId="0" applyFont="1" applyAlignment="1">
      <alignment vertical="center"/>
    </xf>
    <xf numFmtId="164" fontId="36" fillId="0" borderId="0" xfId="1" applyNumberFormat="1" applyFont="1"/>
    <xf numFmtId="0" fontId="3" fillId="0" borderId="0" xfId="3" applyFont="1"/>
    <xf numFmtId="168" fontId="36" fillId="0" borderId="0" xfId="0" applyNumberFormat="1" applyFont="1"/>
    <xf numFmtId="0" fontId="40" fillId="0" borderId="0" xfId="0" applyFont="1" applyAlignment="1">
      <alignment vertical="center"/>
    </xf>
    <xf numFmtId="0" fontId="28" fillId="0" borderId="0" xfId="0" applyFont="1" applyAlignment="1">
      <alignment vertical="center"/>
    </xf>
    <xf numFmtId="0" fontId="28" fillId="0" borderId="1" xfId="0" applyFont="1" applyBorder="1" applyAlignment="1">
      <alignment wrapText="1"/>
    </xf>
    <xf numFmtId="0" fontId="28" fillId="0" borderId="1" xfId="0" applyFont="1" applyBorder="1"/>
    <xf numFmtId="0" fontId="36" fillId="0" borderId="1" xfId="0" applyFont="1" applyBorder="1"/>
    <xf numFmtId="174" fontId="36" fillId="0" borderId="0" xfId="0" applyNumberFormat="1" applyFont="1"/>
    <xf numFmtId="0" fontId="40" fillId="0" borderId="0" xfId="0" applyFont="1"/>
    <xf numFmtId="0" fontId="28" fillId="0" borderId="0" xfId="0" applyFont="1" applyProtection="1">
      <protection locked="0"/>
    </xf>
    <xf numFmtId="0" fontId="36" fillId="0" borderId="0" xfId="0" applyFont="1" applyProtection="1">
      <protection locked="0"/>
    </xf>
    <xf numFmtId="0" fontId="28" fillId="0" borderId="1" xfId="0" applyFont="1" applyBorder="1" applyProtection="1">
      <protection locked="0"/>
    </xf>
    <xf numFmtId="0" fontId="36" fillId="0" borderId="1" xfId="0" applyFont="1" applyBorder="1" applyProtection="1">
      <protection locked="0"/>
    </xf>
    <xf numFmtId="2" fontId="28" fillId="0" borderId="0" xfId="0" applyNumberFormat="1" applyFont="1" applyProtection="1">
      <protection locked="0"/>
    </xf>
    <xf numFmtId="2" fontId="36" fillId="0" borderId="0" xfId="0" applyNumberFormat="1" applyFont="1" applyProtection="1">
      <protection locked="0"/>
    </xf>
    <xf numFmtId="172" fontId="36" fillId="0" borderId="0" xfId="0" applyNumberFormat="1" applyFont="1"/>
    <xf numFmtId="0" fontId="41" fillId="0" borderId="0" xfId="0" applyFont="1"/>
    <xf numFmtId="0" fontId="41" fillId="0" borderId="0" xfId="0" applyFont="1" applyAlignment="1">
      <alignment vertical="center"/>
    </xf>
    <xf numFmtId="0" fontId="42" fillId="0" borderId="0" xfId="0" applyFont="1" applyAlignment="1">
      <alignment vertical="center"/>
    </xf>
    <xf numFmtId="0" fontId="36" fillId="0" borderId="0" xfId="0" applyFont="1" applyAlignment="1">
      <alignment vertical="center"/>
    </xf>
    <xf numFmtId="0" fontId="2" fillId="0" borderId="0" xfId="0" applyFont="1" applyAlignment="1" applyProtection="1">
      <alignment vertical="center"/>
      <protection locked="0"/>
    </xf>
    <xf numFmtId="0" fontId="43" fillId="0" borderId="0" xfId="0" applyFont="1"/>
    <xf numFmtId="0" fontId="3" fillId="0" borderId="0" xfId="0" applyFont="1" applyAlignment="1" applyProtection="1">
      <alignment vertical="center"/>
      <protection locked="0"/>
    </xf>
    <xf numFmtId="0" fontId="2" fillId="0" borderId="0" xfId="0" applyFont="1" applyFill="1"/>
    <xf numFmtId="0" fontId="44" fillId="41" borderId="1"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left" vertical="center"/>
    </xf>
    <xf numFmtId="2" fontId="3" fillId="40" borderId="1" xfId="0" applyNumberFormat="1" applyFont="1" applyFill="1" applyBorder="1" applyAlignment="1" applyProtection="1">
      <alignment horizontal="center"/>
      <protection locked="0"/>
    </xf>
    <xf numFmtId="164" fontId="3" fillId="40" borderId="1" xfId="1" applyNumberFormat="1" applyFont="1" applyFill="1" applyBorder="1" applyAlignment="1" applyProtection="1">
      <alignment horizontal="center"/>
      <protection locked="0"/>
    </xf>
    <xf numFmtId="164" fontId="43" fillId="0" borderId="0" xfId="1" applyNumberFormat="1" applyFont="1"/>
    <xf numFmtId="0" fontId="3" fillId="0" borderId="4" xfId="0" applyFont="1" applyBorder="1" applyAlignment="1">
      <alignment horizontal="center" vertical="center" wrapText="1"/>
    </xf>
    <xf numFmtId="0" fontId="3" fillId="0" borderId="6" xfId="0" applyFont="1" applyBorder="1" applyAlignment="1">
      <alignment horizontal="center" vertical="center" wrapText="1"/>
    </xf>
    <xf numFmtId="164" fontId="3" fillId="0" borderId="1" xfId="1" applyNumberFormat="1" applyFont="1" applyBorder="1" applyAlignment="1">
      <alignment horizontal="center" vertical="center"/>
    </xf>
    <xf numFmtId="1" fontId="3" fillId="0" borderId="1" xfId="0" applyNumberFormat="1" applyFont="1" applyBorder="1" applyAlignment="1" applyProtection="1">
      <alignment horizontal="center" vertical="center"/>
      <protection locked="0"/>
    </xf>
    <xf numFmtId="164" fontId="3" fillId="0" borderId="1" xfId="1" applyNumberFormat="1" applyFont="1" applyBorder="1" applyAlignment="1" applyProtection="1">
      <alignment horizontal="center" vertical="center"/>
      <protection locked="0"/>
    </xf>
    <xf numFmtId="173" fontId="36" fillId="0" borderId="0" xfId="0" applyNumberFormat="1" applyFont="1"/>
    <xf numFmtId="172" fontId="3" fillId="0" borderId="1" xfId="0" applyNumberFormat="1" applyFont="1" applyBorder="1" applyAlignment="1">
      <alignment horizontal="center" vertical="center"/>
    </xf>
    <xf numFmtId="175" fontId="3" fillId="0" borderId="1" xfId="0" applyNumberFormat="1" applyFont="1" applyBorder="1" applyAlignment="1">
      <alignment horizontal="center" vertical="center"/>
    </xf>
    <xf numFmtId="173" fontId="43" fillId="0" borderId="0" xfId="0" applyNumberFormat="1" applyFont="1"/>
    <xf numFmtId="9" fontId="43" fillId="0" borderId="0" xfId="1" applyFont="1"/>
    <xf numFmtId="2" fontId="36" fillId="0" borderId="0" xfId="0" applyNumberFormat="1" applyFont="1"/>
    <xf numFmtId="2" fontId="3" fillId="0" borderId="1" xfId="0" applyNumberFormat="1" applyFont="1" applyFill="1" applyBorder="1" applyAlignment="1" applyProtection="1">
      <alignment horizontal="center"/>
      <protection locked="0"/>
    </xf>
    <xf numFmtId="164" fontId="3" fillId="0" borderId="1" xfId="1" applyNumberFormat="1" applyFont="1" applyFill="1" applyBorder="1" applyAlignment="1" applyProtection="1">
      <alignment horizontal="center"/>
      <protection locked="0"/>
    </xf>
    <xf numFmtId="0" fontId="45" fillId="0" borderId="0" xfId="0" applyFont="1"/>
    <xf numFmtId="0" fontId="3" fillId="0" borderId="3" xfId="3" applyFont="1" applyBorder="1" applyAlignment="1">
      <alignment vertical="top"/>
    </xf>
    <xf numFmtId="3" fontId="3" fillId="0" borderId="3" xfId="3" applyNumberFormat="1" applyFont="1" applyBorder="1" applyAlignment="1">
      <alignment horizontal="center" vertical="center"/>
    </xf>
    <xf numFmtId="3" fontId="3" fillId="0" borderId="4" xfId="3" applyNumberFormat="1" applyFont="1" applyBorder="1" applyAlignment="1">
      <alignment horizontal="center" vertical="center"/>
    </xf>
    <xf numFmtId="3" fontId="3" fillId="0" borderId="4" xfId="118" applyNumberFormat="1" applyFont="1" applyBorder="1" applyAlignment="1">
      <alignment horizontal="center" vertical="center"/>
    </xf>
    <xf numFmtId="0" fontId="3" fillId="0" borderId="5" xfId="3" applyFont="1" applyBorder="1" applyAlignment="1">
      <alignment vertical="top"/>
    </xf>
    <xf numFmtId="3" fontId="3" fillId="0" borderId="5" xfId="3" applyNumberFormat="1" applyFont="1" applyBorder="1" applyAlignment="1">
      <alignment horizontal="center" vertical="center"/>
    </xf>
    <xf numFmtId="3" fontId="3" fillId="0" borderId="6" xfId="3" applyNumberFormat="1" applyFont="1" applyBorder="1" applyAlignment="1">
      <alignment horizontal="center" vertical="center"/>
    </xf>
    <xf numFmtId="0" fontId="5" fillId="0" borderId="0" xfId="0" applyFont="1" applyBorder="1"/>
    <xf numFmtId="0" fontId="5" fillId="0" borderId="0" xfId="0" applyFont="1" applyFill="1" applyBorder="1" applyAlignment="1">
      <alignment vertical="top"/>
    </xf>
    <xf numFmtId="0" fontId="5" fillId="0" borderId="0" xfId="0" applyFont="1" applyBorder="1" applyAlignment="1">
      <alignment horizontal="left"/>
    </xf>
    <xf numFmtId="1" fontId="3" fillId="0" borderId="1" xfId="107" applyNumberFormat="1" applyFont="1" applyBorder="1" applyAlignment="1">
      <alignment horizontal="center" vertical="center"/>
    </xf>
    <xf numFmtId="164" fontId="45" fillId="0" borderId="1" xfId="1" applyNumberFormat="1" applyFont="1" applyBorder="1" applyAlignment="1">
      <alignment horizontal="center" vertical="center"/>
    </xf>
    <xf numFmtId="164" fontId="36" fillId="0" borderId="0" xfId="0" applyNumberFormat="1" applyFont="1"/>
    <xf numFmtId="0" fontId="5" fillId="0" borderId="0" xfId="0" applyFont="1"/>
    <xf numFmtId="165" fontId="5" fillId="0" borderId="0" xfId="2" applyNumberFormat="1" applyFont="1" applyFill="1"/>
  </cellXfs>
  <cellStyles count="119">
    <cellStyle name="20 % - Accent1 2" xfId="5" xr:uid="{00000000-0005-0000-0000-000000000000}"/>
    <cellStyle name="20 % - Accent2 2" xfId="6" xr:uid="{00000000-0005-0000-0000-000001000000}"/>
    <cellStyle name="20 % - Accent3 2" xfId="7" xr:uid="{00000000-0005-0000-0000-000002000000}"/>
    <cellStyle name="20 % - Accent4 2" xfId="8" xr:uid="{00000000-0005-0000-0000-000003000000}"/>
    <cellStyle name="20 % - Accent5 2" xfId="9" xr:uid="{00000000-0005-0000-0000-000004000000}"/>
    <cellStyle name="20 % - Accent6 2" xfId="10" xr:uid="{00000000-0005-0000-0000-000005000000}"/>
    <cellStyle name="20% - Accent1" xfId="11" xr:uid="{00000000-0005-0000-0000-000006000000}"/>
    <cellStyle name="20% - Accent2" xfId="12" xr:uid="{00000000-0005-0000-0000-000007000000}"/>
    <cellStyle name="20% - Accent3" xfId="13" xr:uid="{00000000-0005-0000-0000-000008000000}"/>
    <cellStyle name="20% - Accent4" xfId="14" xr:uid="{00000000-0005-0000-0000-000009000000}"/>
    <cellStyle name="20% - Accent5" xfId="15" xr:uid="{00000000-0005-0000-0000-00000A000000}"/>
    <cellStyle name="20% - Accent6" xfId="16" xr:uid="{00000000-0005-0000-0000-00000B000000}"/>
    <cellStyle name="40 % - Accent1 2" xfId="17" xr:uid="{00000000-0005-0000-0000-00000C000000}"/>
    <cellStyle name="40 % - Accent2 2" xfId="18" xr:uid="{00000000-0005-0000-0000-00000D000000}"/>
    <cellStyle name="40 % - Accent3 2" xfId="19" xr:uid="{00000000-0005-0000-0000-00000E000000}"/>
    <cellStyle name="40 % - Accent4 2" xfId="20" xr:uid="{00000000-0005-0000-0000-00000F000000}"/>
    <cellStyle name="40 % - Accent5 2" xfId="21" xr:uid="{00000000-0005-0000-0000-000010000000}"/>
    <cellStyle name="40 % - Accent6 2" xfId="22" xr:uid="{00000000-0005-0000-0000-000011000000}"/>
    <cellStyle name="40% - Accent1" xfId="23" xr:uid="{00000000-0005-0000-0000-000012000000}"/>
    <cellStyle name="40% - Accent2" xfId="24" xr:uid="{00000000-0005-0000-0000-000013000000}"/>
    <cellStyle name="40% - Accent3" xfId="25" xr:uid="{00000000-0005-0000-0000-000014000000}"/>
    <cellStyle name="40% - Accent4" xfId="26" xr:uid="{00000000-0005-0000-0000-000015000000}"/>
    <cellStyle name="40% - Accent5" xfId="27" xr:uid="{00000000-0005-0000-0000-000016000000}"/>
    <cellStyle name="40% - Accent6" xfId="28" xr:uid="{00000000-0005-0000-0000-000017000000}"/>
    <cellStyle name="60 % - Accent1 2" xfId="29" xr:uid="{00000000-0005-0000-0000-000018000000}"/>
    <cellStyle name="60 % - Accent2 2" xfId="30" xr:uid="{00000000-0005-0000-0000-000019000000}"/>
    <cellStyle name="60 % - Accent3 2" xfId="31" xr:uid="{00000000-0005-0000-0000-00001A000000}"/>
    <cellStyle name="60 % - Accent4 2" xfId="32" xr:uid="{00000000-0005-0000-0000-00001B000000}"/>
    <cellStyle name="60 % - Accent5 2" xfId="33" xr:uid="{00000000-0005-0000-0000-00001C000000}"/>
    <cellStyle name="60 % - Accent6 2" xfId="34" xr:uid="{00000000-0005-0000-0000-00001D000000}"/>
    <cellStyle name="60% - Accent1" xfId="35" xr:uid="{00000000-0005-0000-0000-00001E000000}"/>
    <cellStyle name="60% - Accent2" xfId="36" xr:uid="{00000000-0005-0000-0000-00001F000000}"/>
    <cellStyle name="60% - Accent3" xfId="37" xr:uid="{00000000-0005-0000-0000-000020000000}"/>
    <cellStyle name="60% - Accent4" xfId="38" xr:uid="{00000000-0005-0000-0000-000021000000}"/>
    <cellStyle name="60% - Accent5" xfId="39" xr:uid="{00000000-0005-0000-0000-000022000000}"/>
    <cellStyle name="60% - Accent6" xfId="40" xr:uid="{00000000-0005-0000-0000-000023000000}"/>
    <cellStyle name="Accent1 2" xfId="41" xr:uid="{00000000-0005-0000-0000-000024000000}"/>
    <cellStyle name="Accent1 3" xfId="42" xr:uid="{00000000-0005-0000-0000-000025000000}"/>
    <cellStyle name="Accent2 2" xfId="43" xr:uid="{00000000-0005-0000-0000-000026000000}"/>
    <cellStyle name="Accent2 3" xfId="44" xr:uid="{00000000-0005-0000-0000-000027000000}"/>
    <cellStyle name="Accent3 2" xfId="45" xr:uid="{00000000-0005-0000-0000-000028000000}"/>
    <cellStyle name="Accent3 3" xfId="46" xr:uid="{00000000-0005-0000-0000-000029000000}"/>
    <cellStyle name="Accent4 2" xfId="47" xr:uid="{00000000-0005-0000-0000-00002A000000}"/>
    <cellStyle name="Accent4 3" xfId="48" xr:uid="{00000000-0005-0000-0000-00002B000000}"/>
    <cellStyle name="Accent5 2" xfId="49" xr:uid="{00000000-0005-0000-0000-00002C000000}"/>
    <cellStyle name="Accent5 3" xfId="50" xr:uid="{00000000-0005-0000-0000-00002D000000}"/>
    <cellStyle name="Accent6 2" xfId="51" xr:uid="{00000000-0005-0000-0000-00002E000000}"/>
    <cellStyle name="Accent6 3" xfId="52" xr:uid="{00000000-0005-0000-0000-00002F000000}"/>
    <cellStyle name="Avertissement 2" xfId="53" xr:uid="{00000000-0005-0000-0000-000030000000}"/>
    <cellStyle name="Bad" xfId="54" xr:uid="{00000000-0005-0000-0000-000031000000}"/>
    <cellStyle name="Calcul 2" xfId="55" xr:uid="{00000000-0005-0000-0000-000032000000}"/>
    <cellStyle name="Calculation" xfId="56" xr:uid="{00000000-0005-0000-0000-000033000000}"/>
    <cellStyle name="Cellule liée 2" xfId="57" xr:uid="{00000000-0005-0000-0000-000034000000}"/>
    <cellStyle name="Check Cell" xfId="58" xr:uid="{00000000-0005-0000-0000-000035000000}"/>
    <cellStyle name="Comma" xfId="59" xr:uid="{00000000-0005-0000-0000-000036000000}"/>
    <cellStyle name="Comma [0]" xfId="60" xr:uid="{00000000-0005-0000-0000-000037000000}"/>
    <cellStyle name="Comma_Headers" xfId="61" xr:uid="{00000000-0005-0000-0000-000038000000}"/>
    <cellStyle name="Currency" xfId="62" xr:uid="{00000000-0005-0000-0000-000039000000}"/>
    <cellStyle name="Currency [0]" xfId="63" xr:uid="{00000000-0005-0000-0000-00003A000000}"/>
    <cellStyle name="Currency_Headers" xfId="64" xr:uid="{00000000-0005-0000-0000-00003B000000}"/>
    <cellStyle name="Entrée 2" xfId="65" xr:uid="{00000000-0005-0000-0000-00003C000000}"/>
    <cellStyle name="Explanatory Text" xfId="66" xr:uid="{00000000-0005-0000-0000-00003D000000}"/>
    <cellStyle name="Good" xfId="67" xr:uid="{00000000-0005-0000-0000-00003E000000}"/>
    <cellStyle name="Heading 1" xfId="68" xr:uid="{00000000-0005-0000-0000-00003F000000}"/>
    <cellStyle name="Heading 2" xfId="69" xr:uid="{00000000-0005-0000-0000-000040000000}"/>
    <cellStyle name="Heading 3" xfId="70" xr:uid="{00000000-0005-0000-0000-000041000000}"/>
    <cellStyle name="Heading 4" xfId="71" xr:uid="{00000000-0005-0000-0000-000042000000}"/>
    <cellStyle name="Input" xfId="72" xr:uid="{00000000-0005-0000-0000-000043000000}"/>
    <cellStyle name="Insatisfaisant 2" xfId="73" xr:uid="{00000000-0005-0000-0000-000044000000}"/>
    <cellStyle name="Linked Cell" xfId="74" xr:uid="{00000000-0005-0000-0000-000045000000}"/>
    <cellStyle name="Milliers" xfId="4" builtinId="3"/>
    <cellStyle name="Milliers 2" xfId="76" xr:uid="{00000000-0005-0000-0000-000047000000}"/>
    <cellStyle name="Milliers 3" xfId="77" xr:uid="{00000000-0005-0000-0000-000048000000}"/>
    <cellStyle name="Milliers 3 2" xfId="117" xr:uid="{00000000-0005-0000-0000-000049000000}"/>
    <cellStyle name="Milliers 4" xfId="75" xr:uid="{00000000-0005-0000-0000-00004A000000}"/>
    <cellStyle name="Milliers 5" xfId="114" xr:uid="{00000000-0005-0000-0000-00004B000000}"/>
    <cellStyle name="Neutral" xfId="78" xr:uid="{00000000-0005-0000-0000-00004C000000}"/>
    <cellStyle name="Neutre 2" xfId="79" xr:uid="{00000000-0005-0000-0000-00004D000000}"/>
    <cellStyle name="Normal" xfId="0" builtinId="0"/>
    <cellStyle name="Normal 2" xfId="3" xr:uid="{00000000-0005-0000-0000-00004F000000}"/>
    <cellStyle name="Normal 2 2" xfId="81" xr:uid="{00000000-0005-0000-0000-000050000000}"/>
    <cellStyle name="Normal 2 3" xfId="82" xr:uid="{00000000-0005-0000-0000-000051000000}"/>
    <cellStyle name="Normal 2 4" xfId="109" xr:uid="{00000000-0005-0000-0000-000052000000}"/>
    <cellStyle name="Normal 2 4 2" xfId="111" xr:uid="{00000000-0005-0000-0000-000053000000}"/>
    <cellStyle name="Normal 2 5" xfId="113" xr:uid="{00000000-0005-0000-0000-000054000000}"/>
    <cellStyle name="Normal 2 6" xfId="80" xr:uid="{00000000-0005-0000-0000-000055000000}"/>
    <cellStyle name="Normal 27" xfId="105" xr:uid="{00000000-0005-0000-0000-000056000000}"/>
    <cellStyle name="Normal 3" xfId="83" xr:uid="{00000000-0005-0000-0000-000057000000}"/>
    <cellStyle name="Normal 3 2" xfId="84" xr:uid="{00000000-0005-0000-0000-000058000000}"/>
    <cellStyle name="Normal 4" xfId="85" xr:uid="{00000000-0005-0000-0000-000059000000}"/>
    <cellStyle name="Normal 5" xfId="86" xr:uid="{00000000-0005-0000-0000-00005A000000}"/>
    <cellStyle name="Normal 6" xfId="87" xr:uid="{00000000-0005-0000-0000-00005B000000}"/>
    <cellStyle name="Normal 7" xfId="106" xr:uid="{00000000-0005-0000-0000-00005C000000}"/>
    <cellStyle name="Normal 7 2" xfId="112" xr:uid="{00000000-0005-0000-0000-00005D000000}"/>
    <cellStyle name="Normal 8" xfId="107" xr:uid="{00000000-0005-0000-0000-00005E000000}"/>
    <cellStyle name="Normal 8 2" xfId="110" xr:uid="{00000000-0005-0000-0000-00005F000000}"/>
    <cellStyle name="Normal 8 5" xfId="118" xr:uid="{A1A4F006-CEC3-4B0C-9A2C-2AF91CB2C0C6}"/>
    <cellStyle name="Normal 9" xfId="115" xr:uid="{00000000-0005-0000-0000-000060000000}"/>
    <cellStyle name="Normale" xfId="2" xr:uid="{00000000-0005-0000-0000-000061000000}"/>
    <cellStyle name="Output" xfId="88" xr:uid="{00000000-0005-0000-0000-000062000000}"/>
    <cellStyle name="Percent" xfId="89" xr:uid="{00000000-0005-0000-0000-000063000000}"/>
    <cellStyle name="Pourcentage" xfId="1" builtinId="5"/>
    <cellStyle name="Pourcentage 2" xfId="90" xr:uid="{00000000-0005-0000-0000-000065000000}"/>
    <cellStyle name="Pourcentage 3" xfId="91" xr:uid="{00000000-0005-0000-0000-000066000000}"/>
    <cellStyle name="Pourcentage 4" xfId="108" xr:uid="{00000000-0005-0000-0000-000067000000}"/>
    <cellStyle name="Pourcentage 5" xfId="116" xr:uid="{00000000-0005-0000-0000-000068000000}"/>
    <cellStyle name="Satisfaisant 2" xfId="92" xr:uid="{00000000-0005-0000-0000-000069000000}"/>
    <cellStyle name="Sortie 2" xfId="93" xr:uid="{00000000-0005-0000-0000-00006A000000}"/>
    <cellStyle name="Texte explicatif 2" xfId="94" xr:uid="{00000000-0005-0000-0000-00006B000000}"/>
    <cellStyle name="Title" xfId="95" xr:uid="{00000000-0005-0000-0000-00006C000000}"/>
    <cellStyle name="Titre 1" xfId="96" xr:uid="{00000000-0005-0000-0000-00006D000000}"/>
    <cellStyle name="Titre 1 2" xfId="97" xr:uid="{00000000-0005-0000-0000-00006E000000}"/>
    <cellStyle name="Titre 2 2" xfId="98" xr:uid="{00000000-0005-0000-0000-00006F000000}"/>
    <cellStyle name="Titre 3 2" xfId="99" xr:uid="{00000000-0005-0000-0000-000070000000}"/>
    <cellStyle name="Titre 4 2" xfId="100" xr:uid="{00000000-0005-0000-0000-000071000000}"/>
    <cellStyle name="Total 2" xfId="101" xr:uid="{00000000-0005-0000-0000-000072000000}"/>
    <cellStyle name="Total 3" xfId="102" xr:uid="{00000000-0005-0000-0000-000073000000}"/>
    <cellStyle name="Vérification 2" xfId="103" xr:uid="{00000000-0005-0000-0000-000074000000}"/>
    <cellStyle name="Warning Text" xfId="104" xr:uid="{00000000-0005-0000-0000-000075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6F6F6"/>
        </patternFill>
      </fill>
    </dxf>
    <dxf>
      <fill>
        <patternFill>
          <bgColor theme="0"/>
        </patternFill>
      </fill>
    </dxf>
  </dxfs>
  <tableStyles count="1" defaultTableStyle="TableStyleMedium2" defaultPivotStyle="PivotStyleLight16">
    <tableStyle name="Tabellenformat 3" pivot="0" count="2" xr9:uid="{00000000-0011-0000-FFFF-FFFF00000000}">
      <tableStyleElement type="firstRowStripe" dxfId="13"/>
      <tableStyleElement type="secondRowStripe" dxfId="12"/>
    </tableStyle>
  </tableStyles>
  <colors>
    <mruColors>
      <color rgb="FFFF505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2"/>
          <c:tx>
            <c:strRef>
              <c:f>'Graphique 1'!$E$3</c:f>
              <c:strCache>
                <c:ptCount val="1"/>
              </c:strCache>
            </c:strRef>
          </c:tx>
          <c:spPr>
            <a:solidFill>
              <a:schemeClr val="bg2">
                <a:lumMod val="50000"/>
              </a:schemeClr>
            </a:solidFill>
            <a:ln>
              <a:noFill/>
            </a:ln>
            <a:effectLst/>
          </c:spPr>
          <c:invertIfNegative val="0"/>
          <c:dPt>
            <c:idx val="120"/>
            <c:invertIfNegative val="0"/>
            <c:bubble3D val="0"/>
            <c:spPr>
              <a:solidFill>
                <a:schemeClr val="bg2">
                  <a:lumMod val="50000"/>
                </a:schemeClr>
              </a:solidFill>
              <a:ln>
                <a:noFill/>
              </a:ln>
              <a:effectLst/>
            </c:spPr>
            <c:extLst>
              <c:ext xmlns:c16="http://schemas.microsoft.com/office/drawing/2014/chart" uri="{C3380CC4-5D6E-409C-BE32-E72D297353CC}">
                <c16:uniqueId val="{00000002-A1A1-4485-A389-B82B0CC144B4}"/>
              </c:ext>
            </c:extLst>
          </c:dPt>
          <c:dPt>
            <c:idx val="132"/>
            <c:invertIfNegative val="0"/>
            <c:bubble3D val="0"/>
            <c:spPr>
              <a:solidFill>
                <a:schemeClr val="bg2">
                  <a:lumMod val="50000"/>
                </a:schemeClr>
              </a:solidFill>
              <a:ln>
                <a:noFill/>
              </a:ln>
              <a:effectLst/>
            </c:spPr>
            <c:extLst>
              <c:ext xmlns:c16="http://schemas.microsoft.com/office/drawing/2014/chart" uri="{C3380CC4-5D6E-409C-BE32-E72D297353CC}">
                <c16:uniqueId val="{00000003-97A7-4A6D-A864-37AFAE44723C}"/>
              </c:ext>
            </c:extLst>
          </c:dPt>
          <c:cat>
            <c:numRef>
              <c:f>'Graphique 1'!$A$5:$A$140</c:f>
              <c:numCache>
                <c:formatCode>[$-40C]mmm\-yy;@</c:formatCode>
                <c:ptCount val="13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pt idx="126">
                  <c:v>45839</c:v>
                </c:pt>
                <c:pt idx="127">
                  <c:v>45870</c:v>
                </c:pt>
                <c:pt idx="128">
                  <c:v>45901</c:v>
                </c:pt>
                <c:pt idx="129">
                  <c:v>45931</c:v>
                </c:pt>
                <c:pt idx="130">
                  <c:v>45962</c:v>
                </c:pt>
                <c:pt idx="131">
                  <c:v>45992</c:v>
                </c:pt>
                <c:pt idx="132">
                  <c:v>46023</c:v>
                </c:pt>
                <c:pt idx="133">
                  <c:v>46054</c:v>
                </c:pt>
                <c:pt idx="134">
                  <c:v>46082</c:v>
                </c:pt>
                <c:pt idx="135">
                  <c:v>46113</c:v>
                </c:pt>
              </c:numCache>
            </c:numRef>
          </c:cat>
          <c:val>
            <c:numRef>
              <c:f>'Graphique 1'!$E$5:$E$140</c:f>
              <c:numCache>
                <c:formatCode>General</c:formatCode>
                <c:ptCount val="136"/>
                <c:pt idx="120" formatCode="0.00000">
                  <c:v>140</c:v>
                </c:pt>
                <c:pt idx="132" formatCode="0.00000">
                  <c:v>140</c:v>
                </c:pt>
              </c:numCache>
            </c:numRef>
          </c:val>
          <c:extLst>
            <c:ext xmlns:c16="http://schemas.microsoft.com/office/drawing/2014/chart" uri="{C3380CC4-5D6E-409C-BE32-E72D297353CC}">
              <c16:uniqueId val="{00000001-A1A1-4485-A389-B82B0CC144B4}"/>
            </c:ext>
          </c:extLst>
        </c:ser>
        <c:dLbls>
          <c:showLegendKey val="0"/>
          <c:showVal val="0"/>
          <c:showCatName val="0"/>
          <c:showSerName val="0"/>
          <c:showPercent val="0"/>
          <c:showBubbleSize val="0"/>
        </c:dLbls>
        <c:gapWidth val="150"/>
        <c:axId val="1747401904"/>
        <c:axId val="1747400656"/>
      </c:barChart>
      <c:lineChart>
        <c:grouping val="standard"/>
        <c:varyColors val="0"/>
        <c:ser>
          <c:idx val="1"/>
          <c:order val="0"/>
          <c:tx>
            <c:strRef>
              <c:f>'Graphique 1'!$B$3</c:f>
              <c:strCache>
                <c:ptCount val="1"/>
                <c:pt idx="0">
                  <c:v>En $US/baril</c:v>
                </c:pt>
              </c:strCache>
            </c:strRef>
          </c:tx>
          <c:spPr>
            <a:ln w="28575" cap="rnd">
              <a:solidFill>
                <a:schemeClr val="accent2"/>
              </a:solidFill>
              <a:round/>
            </a:ln>
            <a:effectLst/>
          </c:spPr>
          <c:marker>
            <c:symbol val="none"/>
          </c:marker>
          <c:cat>
            <c:numRef>
              <c:f>'Graphique 1'!$A$5:$A$140</c:f>
              <c:numCache>
                <c:formatCode>[$-40C]mmm\-yy;@</c:formatCode>
                <c:ptCount val="13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pt idx="126">
                  <c:v>45839</c:v>
                </c:pt>
                <c:pt idx="127">
                  <c:v>45870</c:v>
                </c:pt>
                <c:pt idx="128">
                  <c:v>45901</c:v>
                </c:pt>
                <c:pt idx="129">
                  <c:v>45931</c:v>
                </c:pt>
                <c:pt idx="130">
                  <c:v>45962</c:v>
                </c:pt>
                <c:pt idx="131">
                  <c:v>45992</c:v>
                </c:pt>
                <c:pt idx="132">
                  <c:v>46023</c:v>
                </c:pt>
                <c:pt idx="133">
                  <c:v>46054</c:v>
                </c:pt>
                <c:pt idx="134">
                  <c:v>46082</c:v>
                </c:pt>
                <c:pt idx="135">
                  <c:v>46113</c:v>
                </c:pt>
              </c:numCache>
            </c:numRef>
          </c:cat>
          <c:val>
            <c:numRef>
              <c:f>'Graphique 1'!$B$5:$B$140</c:f>
              <c:numCache>
                <c:formatCode>0.00000</c:formatCode>
                <c:ptCount val="136"/>
                <c:pt idx="0">
                  <c:v>47.708095238095197</c:v>
                </c:pt>
                <c:pt idx="1">
                  <c:v>58.095500000000001</c:v>
                </c:pt>
                <c:pt idx="2">
                  <c:v>55.8854545454545</c:v>
                </c:pt>
                <c:pt idx="3">
                  <c:v>59.606000000000002</c:v>
                </c:pt>
                <c:pt idx="4">
                  <c:v>64.036842105263204</c:v>
                </c:pt>
                <c:pt idx="5">
                  <c:v>61.470909090909103</c:v>
                </c:pt>
                <c:pt idx="6">
                  <c:v>56.561304347826102</c:v>
                </c:pt>
                <c:pt idx="7">
                  <c:v>46.515000000000001</c:v>
                </c:pt>
                <c:pt idx="8">
                  <c:v>47.623181818181799</c:v>
                </c:pt>
                <c:pt idx="9">
                  <c:v>48.43</c:v>
                </c:pt>
                <c:pt idx="10">
                  <c:v>44.294499999999999</c:v>
                </c:pt>
                <c:pt idx="11">
                  <c:v>38.049523809500002</c:v>
                </c:pt>
                <c:pt idx="12">
                  <c:v>30.6905</c:v>
                </c:pt>
                <c:pt idx="13">
                  <c:v>32.200476190499998</c:v>
                </c:pt>
                <c:pt idx="14">
                  <c:v>38.320476190476192</c:v>
                </c:pt>
                <c:pt idx="15">
                  <c:v>41.583333333333336</c:v>
                </c:pt>
                <c:pt idx="16">
                  <c:v>46.788499999999992</c:v>
                </c:pt>
                <c:pt idx="17">
                  <c:v>48.25</c:v>
                </c:pt>
                <c:pt idx="18">
                  <c:v>44.951904761904771</c:v>
                </c:pt>
                <c:pt idx="19">
                  <c:v>45.578181818181811</c:v>
                </c:pt>
                <c:pt idx="20">
                  <c:v>46.567727272727275</c:v>
                </c:pt>
                <c:pt idx="21">
                  <c:v>49.522380952380956</c:v>
                </c:pt>
                <c:pt idx="22">
                  <c:v>44.734090909090916</c:v>
                </c:pt>
                <c:pt idx="23">
                  <c:v>53.308499999999995</c:v>
                </c:pt>
                <c:pt idx="24">
                  <c:v>54.576666666666661</c:v>
                </c:pt>
                <c:pt idx="25">
                  <c:v>54.869500000000002</c:v>
                </c:pt>
                <c:pt idx="26">
                  <c:v>51.589130434782604</c:v>
                </c:pt>
                <c:pt idx="27">
                  <c:v>52.357894736842105</c:v>
                </c:pt>
                <c:pt idx="28">
                  <c:v>50.322727272727278</c:v>
                </c:pt>
                <c:pt idx="29">
                  <c:v>46.368181818181824</c:v>
                </c:pt>
                <c:pt idx="30">
                  <c:v>48.478571428571428</c:v>
                </c:pt>
                <c:pt idx="31">
                  <c:v>51.696818181818188</c:v>
                </c:pt>
                <c:pt idx="32">
                  <c:v>56.152857142857137</c:v>
                </c:pt>
                <c:pt idx="33">
                  <c:v>57.5</c:v>
                </c:pt>
                <c:pt idx="34">
                  <c:v>62.73181818181817</c:v>
                </c:pt>
                <c:pt idx="35">
                  <c:v>64.384736842105269</c:v>
                </c:pt>
                <c:pt idx="36">
                  <c:v>69.085909090909084</c:v>
                </c:pt>
                <c:pt idx="37">
                  <c:v>65.317499999999981</c:v>
                </c:pt>
                <c:pt idx="38">
                  <c:v>66.016666666666666</c:v>
                </c:pt>
                <c:pt idx="39">
                  <c:v>72.055500000000009</c:v>
                </c:pt>
                <c:pt idx="40">
                  <c:v>76.975238095238112</c:v>
                </c:pt>
                <c:pt idx="41">
                  <c:v>74.404761904761898</c:v>
                </c:pt>
                <c:pt idx="42">
                  <c:v>74.25409090909092</c:v>
                </c:pt>
                <c:pt idx="43">
                  <c:v>72.442727272727282</c:v>
                </c:pt>
                <c:pt idx="44">
                  <c:v>78.89100000000002</c:v>
                </c:pt>
                <c:pt idx="45">
                  <c:v>81.032173913043479</c:v>
                </c:pt>
                <c:pt idx="46">
                  <c:v>64.74818181818182</c:v>
                </c:pt>
                <c:pt idx="47">
                  <c:v>57.362352941176482</c:v>
                </c:pt>
                <c:pt idx="48">
                  <c:v>59.409545454545452</c:v>
                </c:pt>
                <c:pt idx="49">
                  <c:v>63.960499999999989</c:v>
                </c:pt>
                <c:pt idx="50">
                  <c:v>66.138095238095218</c:v>
                </c:pt>
                <c:pt idx="51">
                  <c:v>71.259500000000003</c:v>
                </c:pt>
                <c:pt idx="52">
                  <c:v>71.28761904761906</c:v>
                </c:pt>
                <c:pt idx="53">
                  <c:v>64.220499999999987</c:v>
                </c:pt>
                <c:pt idx="54">
                  <c:v>63.919130434782595</c:v>
                </c:pt>
                <c:pt idx="55">
                  <c:v>59.060952380952379</c:v>
                </c:pt>
                <c:pt idx="56">
                  <c:v>62.826666666666675</c:v>
                </c:pt>
                <c:pt idx="57">
                  <c:v>59.713043478260865</c:v>
                </c:pt>
                <c:pt idx="58">
                  <c:v>63.211904761904762</c:v>
                </c:pt>
                <c:pt idx="59">
                  <c:v>67.114999999999995</c:v>
                </c:pt>
                <c:pt idx="60">
                  <c:v>63.645454545454534</c:v>
                </c:pt>
                <c:pt idx="61" formatCode="General">
                  <c:v>55.618500000000004</c:v>
                </c:pt>
                <c:pt idx="62" formatCode="General">
                  <c:v>32.032727272727271</c:v>
                </c:pt>
                <c:pt idx="63" formatCode="General">
                  <c:v>18.378500000000003</c:v>
                </c:pt>
                <c:pt idx="64" formatCode="General">
                  <c:v>29.378947368421056</c:v>
                </c:pt>
                <c:pt idx="65" formatCode="General">
                  <c:v>40.266818181818188</c:v>
                </c:pt>
                <c:pt idx="66" formatCode="General">
                  <c:v>43.235217391304353</c:v>
                </c:pt>
                <c:pt idx="67" formatCode="General">
                  <c:v>44.736000000000004</c:v>
                </c:pt>
                <c:pt idx="68" formatCode="General">
                  <c:v>40.909545454545452</c:v>
                </c:pt>
                <c:pt idx="69" formatCode="General">
                  <c:v>40.18954545454546</c:v>
                </c:pt>
                <c:pt idx="70" formatCode="General">
                  <c:v>42.692380952380951</c:v>
                </c:pt>
                <c:pt idx="71" formatCode="General">
                  <c:v>49.951428571428572</c:v>
                </c:pt>
                <c:pt idx="72" formatCode="General">
                  <c:v>54.774000000000001</c:v>
                </c:pt>
                <c:pt idx="73" formatCode="General">
                  <c:v>62.276499999999999</c:v>
                </c:pt>
                <c:pt idx="74" formatCode="General">
                  <c:v>65.41</c:v>
                </c:pt>
                <c:pt idx="75" formatCode="General">
                  <c:v>64.8065</c:v>
                </c:pt>
                <c:pt idx="76" formatCode="General">
                  <c:v>68.534210526315789</c:v>
                </c:pt>
                <c:pt idx="77" formatCode="General">
                  <c:v>73.150454545454537</c:v>
                </c:pt>
                <c:pt idx="78" formatCode="General">
                  <c:v>75.165909090909082</c:v>
                </c:pt>
                <c:pt idx="79" formatCode="General">
                  <c:v>70.747142857142862</c:v>
                </c:pt>
                <c:pt idx="80" formatCode="General">
                  <c:v>74.489318181818177</c:v>
                </c:pt>
                <c:pt idx="81" formatCode="General">
                  <c:v>83.538095238095224</c:v>
                </c:pt>
                <c:pt idx="82" formatCode="General">
                  <c:v>81.05</c:v>
                </c:pt>
                <c:pt idx="83" formatCode="General">
                  <c:v>74.170476190476194</c:v>
                </c:pt>
                <c:pt idx="84" formatCode="General">
                  <c:v>86.505238095238084</c:v>
                </c:pt>
                <c:pt idx="85" formatCode="General">
                  <c:v>97.129000000000005</c:v>
                </c:pt>
                <c:pt idx="86" formatCode="General">
                  <c:v>117.24521739130434</c:v>
                </c:pt>
                <c:pt idx="87" formatCode="General">
                  <c:v>104.57526315789472</c:v>
                </c:pt>
                <c:pt idx="88" formatCode="General">
                  <c:v>113.11136363636366</c:v>
                </c:pt>
                <c:pt idx="89" formatCode="General">
                  <c:v>122.69445454545458</c:v>
                </c:pt>
                <c:pt idx="90" formatCode="General">
                  <c:v>111.92571428571429</c:v>
                </c:pt>
                <c:pt idx="91" formatCode="General">
                  <c:v>100.44636363636364</c:v>
                </c:pt>
                <c:pt idx="92" formatCode="General">
                  <c:v>89.749545454545455</c:v>
                </c:pt>
                <c:pt idx="93" formatCode="General">
                  <c:v>93.395714285714291</c:v>
                </c:pt>
                <c:pt idx="94" formatCode="General">
                  <c:v>91.415454545454551</c:v>
                </c:pt>
                <c:pt idx="95" formatCode="General">
                  <c:v>80.924000000000007</c:v>
                </c:pt>
                <c:pt idx="96" formatCode="General">
                  <c:v>82.501428571428576</c:v>
                </c:pt>
                <c:pt idx="97" formatCode="General">
                  <c:v>82.585000000000008</c:v>
                </c:pt>
                <c:pt idx="98" formatCode="General">
                  <c:v>78.434347826086949</c:v>
                </c:pt>
                <c:pt idx="99" formatCode="General">
                  <c:v>84.638333333333321</c:v>
                </c:pt>
                <c:pt idx="100" formatCode="General">
                  <c:v>75.63095238095238</c:v>
                </c:pt>
                <c:pt idx="101" formatCode="General">
                  <c:v>74.839090909090899</c:v>
                </c:pt>
                <c:pt idx="102" formatCode="General">
                  <c:v>80.108095238095231</c:v>
                </c:pt>
                <c:pt idx="103" formatCode="General">
                  <c:v>86.147727272727266</c:v>
                </c:pt>
                <c:pt idx="104" formatCode="General">
                  <c:v>93.722380952380945</c:v>
                </c:pt>
                <c:pt idx="105" formatCode="General">
                  <c:v>90.595909090909103</c:v>
                </c:pt>
                <c:pt idx="106" formatCode="General">
                  <c:v>82.94</c:v>
                </c:pt>
                <c:pt idx="107" formatCode="General">
                  <c:v>77.631052631578939</c:v>
                </c:pt>
                <c:pt idx="108" formatCode="General">
                  <c:v>80.12409090909091</c:v>
                </c:pt>
                <c:pt idx="109" formatCode="General">
                  <c:v>83.478095238095221</c:v>
                </c:pt>
                <c:pt idx="110" formatCode="General">
                  <c:v>85.408500000000004</c:v>
                </c:pt>
                <c:pt idx="111" formatCode="General">
                  <c:v>89.938095238095229</c:v>
                </c:pt>
                <c:pt idx="112" formatCode="General">
                  <c:v>81.746190476190492</c:v>
                </c:pt>
                <c:pt idx="113" formatCode="General">
                  <c:v>82.246000000000009</c:v>
                </c:pt>
                <c:pt idx="114" formatCode="General">
                  <c:v>85.153043478260869</c:v>
                </c:pt>
                <c:pt idx="115" formatCode="General">
                  <c:v>80.355238095238079</c:v>
                </c:pt>
                <c:pt idx="116" formatCode="General">
                  <c:v>74.016666666666666</c:v>
                </c:pt>
                <c:pt idx="117" formatCode="General">
                  <c:v>75.632608695652166</c:v>
                </c:pt>
                <c:pt idx="118" formatCode="General">
                  <c:v>74.345238095238102</c:v>
                </c:pt>
                <c:pt idx="119" formatCode="General">
                  <c:v>73.808999999999997</c:v>
                </c:pt>
                <c:pt idx="120" formatCode="General">
                  <c:v>79.270454545454541</c:v>
                </c:pt>
                <c:pt idx="121" formatCode="General">
                  <c:v>75.438000000000002</c:v>
                </c:pt>
                <c:pt idx="122" formatCode="General">
                  <c:v>72.732857142857142</c:v>
                </c:pt>
                <c:pt idx="123" formatCode="General">
                  <c:v>68.134500000000003</c:v>
                </c:pt>
                <c:pt idx="124" formatCode="General">
                  <c:v>64.453000000000003</c:v>
                </c:pt>
                <c:pt idx="125" formatCode="General">
                  <c:v>71.349999999999994</c:v>
                </c:pt>
                <c:pt idx="126" formatCode="General">
                  <c:v>71.067391304347851</c:v>
                </c:pt>
                <c:pt idx="127" formatCode="General">
                  <c:v>67.87</c:v>
                </c:pt>
                <c:pt idx="128" formatCode="General">
                  <c:v>67.985454545454559</c:v>
                </c:pt>
                <c:pt idx="129" formatCode="General">
                  <c:v>64.543478260869563</c:v>
                </c:pt>
                <c:pt idx="130" formatCode="General">
                  <c:v>63.828499999999984</c:v>
                </c:pt>
                <c:pt idx="131" formatCode="General">
                  <c:v>62.544285714285706</c:v>
                </c:pt>
                <c:pt idx="132" formatCode="General">
                  <c:v>66.602380952380969</c:v>
                </c:pt>
                <c:pt idx="133" formatCode="General">
                  <c:v>70.887000000000015</c:v>
                </c:pt>
                <c:pt idx="134" formatCode="General">
                  <c:v>103.13454545454547</c:v>
                </c:pt>
                <c:pt idx="135" formatCode="General">
                  <c:v>117.28749999999999</c:v>
                </c:pt>
              </c:numCache>
            </c:numRef>
          </c:val>
          <c:smooth val="0"/>
          <c:extLst>
            <c:ext xmlns:c16="http://schemas.microsoft.com/office/drawing/2014/chart" uri="{C3380CC4-5D6E-409C-BE32-E72D297353CC}">
              <c16:uniqueId val="{00000000-4B24-428C-9E86-96B040C1B0BD}"/>
            </c:ext>
          </c:extLst>
        </c:ser>
        <c:ser>
          <c:idx val="2"/>
          <c:order val="1"/>
          <c:tx>
            <c:strRef>
              <c:f>'Graphique 1'!$C$3</c:f>
              <c:strCache>
                <c:ptCount val="1"/>
                <c:pt idx="0">
                  <c:v>En €/baril</c:v>
                </c:pt>
              </c:strCache>
            </c:strRef>
          </c:tx>
          <c:spPr>
            <a:ln w="28575" cap="rnd">
              <a:solidFill>
                <a:schemeClr val="accent1"/>
              </a:solidFill>
              <a:round/>
            </a:ln>
            <a:effectLst/>
          </c:spPr>
          <c:marker>
            <c:symbol val="none"/>
          </c:marker>
          <c:cat>
            <c:numRef>
              <c:f>'Graphique 1'!$A$5:$A$140</c:f>
              <c:numCache>
                <c:formatCode>[$-40C]mmm\-yy;@</c:formatCode>
                <c:ptCount val="13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pt idx="126">
                  <c:v>45839</c:v>
                </c:pt>
                <c:pt idx="127">
                  <c:v>45870</c:v>
                </c:pt>
                <c:pt idx="128">
                  <c:v>45901</c:v>
                </c:pt>
                <c:pt idx="129">
                  <c:v>45931</c:v>
                </c:pt>
                <c:pt idx="130">
                  <c:v>45962</c:v>
                </c:pt>
                <c:pt idx="131">
                  <c:v>45992</c:v>
                </c:pt>
                <c:pt idx="132">
                  <c:v>46023</c:v>
                </c:pt>
                <c:pt idx="133">
                  <c:v>46054</c:v>
                </c:pt>
                <c:pt idx="134">
                  <c:v>46082</c:v>
                </c:pt>
                <c:pt idx="135">
                  <c:v>46113</c:v>
                </c:pt>
              </c:numCache>
            </c:numRef>
          </c:cat>
          <c:val>
            <c:numRef>
              <c:f>'Graphique 1'!$C$5:$C$140</c:f>
              <c:numCache>
                <c:formatCode>General</c:formatCode>
                <c:ptCount val="136"/>
                <c:pt idx="0">
                  <c:v>41.052170064905347</c:v>
                </c:pt>
                <c:pt idx="1">
                  <c:v>51.187041010075198</c:v>
                </c:pt>
                <c:pt idx="2">
                  <c:v>51.565874956486049</c:v>
                </c:pt>
                <c:pt idx="3">
                  <c:v>55.29672613249469</c:v>
                </c:pt>
                <c:pt idx="4">
                  <c:v>57.434463368712827</c:v>
                </c:pt>
                <c:pt idx="5">
                  <c:v>54.819997486734295</c:v>
                </c:pt>
                <c:pt idx="6">
                  <c:v>51.439089295105035</c:v>
                </c:pt>
                <c:pt idx="7">
                  <c:v>41.758507181942619</c:v>
                </c:pt>
                <c:pt idx="8">
                  <c:v>42.440433271491464</c:v>
                </c:pt>
                <c:pt idx="9">
                  <c:v>43.106015244793952</c:v>
                </c:pt>
                <c:pt idx="10">
                  <c:v>41.227772167332944</c:v>
                </c:pt>
                <c:pt idx="11">
                  <c:v>34.981049729750879</c:v>
                </c:pt>
                <c:pt idx="12">
                  <c:v>28.261039720432976</c:v>
                </c:pt>
                <c:pt idx="13">
                  <c:v>29.027868401971098</c:v>
                </c:pt>
                <c:pt idx="14">
                  <c:v>34.52398827935631</c:v>
                </c:pt>
                <c:pt idx="15">
                  <c:v>36.672224018679422</c:v>
                </c:pt>
                <c:pt idx="16">
                  <c:v>41.365152464998133</c:v>
                </c:pt>
                <c:pt idx="17">
                  <c:v>42.969480536829074</c:v>
                </c:pt>
                <c:pt idx="18">
                  <c:v>40.612375720081396</c:v>
                </c:pt>
                <c:pt idx="19">
                  <c:v>40.652196138293768</c:v>
                </c:pt>
                <c:pt idx="20">
                  <c:v>41.533490631055763</c:v>
                </c:pt>
                <c:pt idx="21">
                  <c:v>44.91399154383344</c:v>
                </c:pt>
                <c:pt idx="22">
                  <c:v>41.424464489407647</c:v>
                </c:pt>
                <c:pt idx="23">
                  <c:v>50.563389505919112</c:v>
                </c:pt>
                <c:pt idx="24">
                  <c:v>51.417527060842097</c:v>
                </c:pt>
                <c:pt idx="25">
                  <c:v>51.55623834289392</c:v>
                </c:pt>
                <c:pt idx="26">
                  <c:v>48.283200677116398</c:v>
                </c:pt>
                <c:pt idx="27">
                  <c:v>48.829173156716706</c:v>
                </c:pt>
                <c:pt idx="28">
                  <c:v>45.510040490822767</c:v>
                </c:pt>
                <c:pt idx="29">
                  <c:v>41.291570868819015</c:v>
                </c:pt>
                <c:pt idx="30">
                  <c:v>42.114472933058657</c:v>
                </c:pt>
                <c:pt idx="31">
                  <c:v>43.785856205255598</c:v>
                </c:pt>
                <c:pt idx="32">
                  <c:v>47.129565238243678</c:v>
                </c:pt>
                <c:pt idx="33">
                  <c:v>48.9117616353928</c:v>
                </c:pt>
                <c:pt idx="34">
                  <c:v>53.443361886026729</c:v>
                </c:pt>
                <c:pt idx="35">
                  <c:v>54.396410657749634</c:v>
                </c:pt>
                <c:pt idx="36">
                  <c:v>56.630115243173144</c:v>
                </c:pt>
                <c:pt idx="37">
                  <c:v>52.898087108634719</c:v>
                </c:pt>
                <c:pt idx="38">
                  <c:v>53.514629815486757</c:v>
                </c:pt>
                <c:pt idx="39">
                  <c:v>58.694802179809884</c:v>
                </c:pt>
                <c:pt idx="40">
                  <c:v>65.165727273943361</c:v>
                </c:pt>
                <c:pt idx="41">
                  <c:v>63.712058195103644</c:v>
                </c:pt>
                <c:pt idx="42">
                  <c:v>63.542549963825316</c:v>
                </c:pt>
                <c:pt idx="43">
                  <c:v>62.72664299702317</c:v>
                </c:pt>
                <c:pt idx="44">
                  <c:v>67.667064080900971</c:v>
                </c:pt>
                <c:pt idx="45">
                  <c:v>70.56066451371089</c:v>
                </c:pt>
                <c:pt idx="46">
                  <c:v>56.96222272874504</c:v>
                </c:pt>
                <c:pt idx="47">
                  <c:v>50.387642435615042</c:v>
                </c:pt>
                <c:pt idx="48">
                  <c:v>52.038732127997584</c:v>
                </c:pt>
                <c:pt idx="49">
                  <c:v>56.347154253093294</c:v>
                </c:pt>
                <c:pt idx="50">
                  <c:v>58.516464997135031</c:v>
                </c:pt>
                <c:pt idx="51">
                  <c:v>63.408003915200332</c:v>
                </c:pt>
                <c:pt idx="52">
                  <c:v>63.737350455684542</c:v>
                </c:pt>
                <c:pt idx="53">
                  <c:v>56.865514371225672</c:v>
                </c:pt>
                <c:pt idx="54">
                  <c:v>56.977091189545099</c:v>
                </c:pt>
                <c:pt idx="55">
                  <c:v>53.082640623136669</c:v>
                </c:pt>
                <c:pt idx="56">
                  <c:v>57.094884067127694</c:v>
                </c:pt>
                <c:pt idx="57">
                  <c:v>54.026411338701607</c:v>
                </c:pt>
                <c:pt idx="58">
                  <c:v>57.200413668289748</c:v>
                </c:pt>
                <c:pt idx="59">
                  <c:v>60.390787739180894</c:v>
                </c:pt>
                <c:pt idx="60">
                  <c:v>57.336368996920655</c:v>
                </c:pt>
                <c:pt idx="61">
                  <c:v>51.002751031636869</c:v>
                </c:pt>
                <c:pt idx="62">
                  <c:v>28.953758294130942</c:v>
                </c:pt>
                <c:pt idx="63">
                  <c:v>16.92015209125476</c:v>
                </c:pt>
                <c:pt idx="64">
                  <c:v>26.948588880255226</c:v>
                </c:pt>
                <c:pt idx="65">
                  <c:v>35.77812690578795</c:v>
                </c:pt>
                <c:pt idx="66">
                  <c:v>37.715904694718162</c:v>
                </c:pt>
                <c:pt idx="67">
                  <c:v>37.82181247232176</c:v>
                </c:pt>
                <c:pt idx="68">
                  <c:v>34.691423219097032</c:v>
                </c:pt>
                <c:pt idx="69">
                  <c:v>34.130721780014987</c:v>
                </c:pt>
                <c:pt idx="70">
                  <c:v>36.0641361888365</c:v>
                </c:pt>
                <c:pt idx="71">
                  <c:v>41.045643383784963</c:v>
                </c:pt>
                <c:pt idx="72">
                  <c:v>45.004251962681309</c:v>
                </c:pt>
                <c:pt idx="73">
                  <c:v>51.477115863083668</c:v>
                </c:pt>
                <c:pt idx="74">
                  <c:v>54.970604248042413</c:v>
                </c:pt>
                <c:pt idx="75">
                  <c:v>54.099640206693302</c:v>
                </c:pt>
                <c:pt idx="76">
                  <c:v>56.425776317027548</c:v>
                </c:pt>
                <c:pt idx="77">
                  <c:v>60.720430432092236</c:v>
                </c:pt>
                <c:pt idx="78">
                  <c:v>63.58235927406951</c:v>
                </c:pt>
                <c:pt idx="79">
                  <c:v>60.098739009079587</c:v>
                </c:pt>
                <c:pt idx="80">
                  <c:v>63.285730284575614</c:v>
                </c:pt>
                <c:pt idx="81">
                  <c:v>72.006435962582756</c:v>
                </c:pt>
                <c:pt idx="82">
                  <c:v>71.009004057998709</c:v>
                </c:pt>
                <c:pt idx="83">
                  <c:v>65.615625103599527</c:v>
                </c:pt>
                <c:pt idx="84">
                  <c:v>76.455362704331563</c:v>
                </c:pt>
                <c:pt idx="85">
                  <c:v>85.637327079237153</c:v>
                </c:pt>
                <c:pt idx="86">
                  <c:v>106.4031944948626</c:v>
                </c:pt>
                <c:pt idx="87">
                  <c:v>96.661250462161178</c:v>
                </c:pt>
                <c:pt idx="88">
                  <c:v>106.92571124106789</c:v>
                </c:pt>
                <c:pt idx="89">
                  <c:v>116.12395030286351</c:v>
                </c:pt>
                <c:pt idx="90">
                  <c:v>109.95850428290069</c:v>
                </c:pt>
                <c:pt idx="91">
                  <c:v>99.172641965210488</c:v>
                </c:pt>
                <c:pt idx="92">
                  <c:v>90.621572128160523</c:v>
                </c:pt>
                <c:pt idx="93">
                  <c:v>95.052801457795184</c:v>
                </c:pt>
                <c:pt idx="94">
                  <c:v>89.611813142745135</c:v>
                </c:pt>
                <c:pt idx="95">
                  <c:v>76.42407753018685</c:v>
                </c:pt>
                <c:pt idx="96">
                  <c:v>76.610111032991526</c:v>
                </c:pt>
                <c:pt idx="97">
                  <c:v>77.07347574917641</c:v>
                </c:pt>
                <c:pt idx="98">
                  <c:v>73.263237408318901</c:v>
                </c:pt>
                <c:pt idx="99">
                  <c:v>77.170383802977426</c:v>
                </c:pt>
                <c:pt idx="100">
                  <c:v>69.593698993284903</c:v>
                </c:pt>
                <c:pt idx="101">
                  <c:v>69.040620269459922</c:v>
                </c:pt>
                <c:pt idx="102">
                  <c:v>72.442630080828167</c:v>
                </c:pt>
                <c:pt idx="103">
                  <c:v>78.970352297003117</c:v>
                </c:pt>
                <c:pt idx="104">
                  <c:v>87.723747548582637</c:v>
                </c:pt>
                <c:pt idx="105">
                  <c:v>85.770905773401751</c:v>
                </c:pt>
                <c:pt idx="106">
                  <c:v>76.73783859938348</c:v>
                </c:pt>
                <c:pt idx="107">
                  <c:v>71.201208739223205</c:v>
                </c:pt>
                <c:pt idx="108">
                  <c:v>73.473717555947118</c:v>
                </c:pt>
                <c:pt idx="109">
                  <c:v>77.332380486040321</c:v>
                </c:pt>
                <c:pt idx="110">
                  <c:v>78.556777837052309</c:v>
                </c:pt>
                <c:pt idx="111">
                  <c:v>83.836774190684594</c:v>
                </c:pt>
                <c:pt idx="112">
                  <c:v>75.605320175230531</c:v>
                </c:pt>
                <c:pt idx="113">
                  <c:v>76.443907426340743</c:v>
                </c:pt>
                <c:pt idx="114">
                  <c:v>78.524862277177718</c:v>
                </c:pt>
                <c:pt idx="115">
                  <c:v>72.969407354468544</c:v>
                </c:pt>
                <c:pt idx="116">
                  <c:v>66.645657002221029</c:v>
                </c:pt>
                <c:pt idx="117">
                  <c:v>69.360047846889941</c:v>
                </c:pt>
                <c:pt idx="118">
                  <c:v>69.938136386645354</c:v>
                </c:pt>
                <c:pt idx="119">
                  <c:v>70.436836454729814</c:v>
                </c:pt>
                <c:pt idx="120">
                  <c:v>76.562239334100141</c:v>
                </c:pt>
                <c:pt idx="121">
                  <c:v>72.449459783913554</c:v>
                </c:pt>
                <c:pt idx="122">
                  <c:v>67.302802906456691</c:v>
                </c:pt>
                <c:pt idx="123">
                  <c:v>60.758697871847112</c:v>
                </c:pt>
                <c:pt idx="124">
                  <c:v>57.127213833336022</c:v>
                </c:pt>
                <c:pt idx="125">
                  <c:v>61.956252067482623</c:v>
                </c:pt>
                <c:pt idx="126">
                  <c:v>60.861681212951673</c:v>
                </c:pt>
                <c:pt idx="127">
                  <c:v>58.35052812576761</c:v>
                </c:pt>
                <c:pt idx="128">
                  <c:v>57.947611280505527</c:v>
                </c:pt>
                <c:pt idx="129">
                  <c:v>55.495327102803735</c:v>
                </c:pt>
                <c:pt idx="130">
                  <c:v>55.214010138232887</c:v>
                </c:pt>
                <c:pt idx="131">
                  <c:v>53.416868998670104</c:v>
                </c:pt>
                <c:pt idx="132">
                  <c:v>56.739674567855168</c:v>
                </c:pt>
                <c:pt idx="133">
                  <c:v>59.952046481928633</c:v>
                </c:pt>
                <c:pt idx="134">
                  <c:v>89.229716496973865</c:v>
                </c:pt>
                <c:pt idx="135">
                  <c:v>100.19092120549442</c:v>
                </c:pt>
              </c:numCache>
            </c:numRef>
          </c:val>
          <c:smooth val="0"/>
          <c:extLst>
            <c:ext xmlns:c16="http://schemas.microsoft.com/office/drawing/2014/chart" uri="{C3380CC4-5D6E-409C-BE32-E72D297353CC}">
              <c16:uniqueId val="{00000001-4B24-428C-9E86-96B040C1B0BD}"/>
            </c:ext>
          </c:extLst>
        </c:ser>
        <c:dLbls>
          <c:showLegendKey val="0"/>
          <c:showVal val="0"/>
          <c:showCatName val="0"/>
          <c:showSerName val="0"/>
          <c:showPercent val="0"/>
          <c:showBubbleSize val="0"/>
        </c:dLbls>
        <c:marker val="1"/>
        <c:smooth val="0"/>
        <c:axId val="1747401904"/>
        <c:axId val="1747400656"/>
      </c:lineChart>
      <c:dateAx>
        <c:axId val="1747401904"/>
        <c:scaling>
          <c:orientation val="minMax"/>
        </c:scaling>
        <c:delete val="0"/>
        <c:axPos val="b"/>
        <c:majorGridlines>
          <c:spPr>
            <a:ln w="9525" cap="flat" cmpd="sng" algn="ctr">
              <a:noFill/>
              <a:round/>
            </a:ln>
            <a:effectLst/>
          </c:spPr>
        </c:majorGridlines>
        <c:numFmt formatCode="[$-40C]mmm\-yy;@" sourceLinked="0"/>
        <c:majorTickMark val="out"/>
        <c:minorTickMark val="out"/>
        <c:tickLblPos val="nextTo"/>
        <c:spPr>
          <a:noFill/>
          <a:ln w="9525" cap="flat" cmpd="sng" algn="ctr">
            <a:solidFill>
              <a:schemeClr val="tx1"/>
            </a:solidFill>
            <a:round/>
          </a:ln>
          <a:effectLst/>
        </c:spPr>
        <c:txPr>
          <a:bodyPr rot="-27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fr-FR"/>
          </a:p>
        </c:txPr>
        <c:crossAx val="1747400656"/>
        <c:crosses val="autoZero"/>
        <c:auto val="1"/>
        <c:lblOffset val="100"/>
        <c:baseTimeUnit val="months"/>
        <c:majorUnit val="12"/>
        <c:majorTimeUnit val="months"/>
        <c:minorUnit val="12"/>
        <c:minorTimeUnit val="months"/>
      </c:dateAx>
      <c:valAx>
        <c:axId val="1747400656"/>
        <c:scaling>
          <c:orientation val="minMax"/>
          <c:max val="140"/>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out"/>
        <c:minorTickMark val="none"/>
        <c:tickLblPos val="nextTo"/>
        <c:spPr>
          <a:solidFill>
            <a:sysClr val="window" lastClr="FFFFFF"/>
          </a:solid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747401904"/>
        <c:crosses val="autoZero"/>
        <c:crossBetween val="between"/>
      </c:valAx>
      <c:spPr>
        <a:noFill/>
        <a:ln w="25400">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'Graphique 2'!$B$1</c:f>
              <c:strCache>
                <c:ptCount val="1"/>
                <c:pt idx="0">
                  <c:v>Super</c:v>
                </c:pt>
              </c:strCache>
            </c:strRef>
          </c:tx>
          <c:spPr>
            <a:ln w="28575" cap="rnd">
              <a:solidFill>
                <a:schemeClr val="accent1"/>
              </a:solidFill>
              <a:round/>
            </a:ln>
            <a:effectLst/>
          </c:spPr>
          <c:marker>
            <c:symbol val="none"/>
          </c:marker>
          <c:cat>
            <c:numRef>
              <c:f>'Graphique 2'!$A$2:$A$37</c:f>
              <c:numCache>
                <c:formatCode>General</c:formatCode>
                <c:ptCount val="36"/>
                <c:pt idx="0">
                  <c:v>1990</c:v>
                </c:pt>
                <c:pt idx="5">
                  <c:v>1995</c:v>
                </c:pt>
                <c:pt idx="10">
                  <c:v>2000</c:v>
                </c:pt>
                <c:pt idx="15">
                  <c:v>2005</c:v>
                </c:pt>
                <c:pt idx="20">
                  <c:v>2010</c:v>
                </c:pt>
                <c:pt idx="25">
                  <c:v>2015</c:v>
                </c:pt>
                <c:pt idx="30">
                  <c:v>2020</c:v>
                </c:pt>
                <c:pt idx="35">
                  <c:v>2025</c:v>
                </c:pt>
              </c:numCache>
            </c:numRef>
          </c:cat>
          <c:val>
            <c:numRef>
              <c:f>'Graphique 2'!$B$2:$B$37</c:f>
              <c:numCache>
                <c:formatCode>General</c:formatCode>
                <c:ptCount val="36"/>
                <c:pt idx="0">
                  <c:v>100</c:v>
                </c:pt>
                <c:pt idx="1">
                  <c:v>99.125995238382302</c:v>
                </c:pt>
                <c:pt idx="2">
                  <c:v>96.951577413640905</c:v>
                </c:pt>
                <c:pt idx="3">
                  <c:v>100.03592295927599</c:v>
                </c:pt>
                <c:pt idx="4">
                  <c:v>102.802291859875</c:v>
                </c:pt>
                <c:pt idx="5">
                  <c:v>107.434564955979</c:v>
                </c:pt>
                <c:pt idx="6">
                  <c:v>113.887774471268</c:v>
                </c:pt>
                <c:pt idx="7">
                  <c:v>117.701054461442</c:v>
                </c:pt>
                <c:pt idx="8">
                  <c:v>114.736917410895</c:v>
                </c:pt>
                <c:pt idx="9">
                  <c:v>119.225489232296</c:v>
                </c:pt>
                <c:pt idx="10">
                  <c:v>136.70000861139701</c:v>
                </c:pt>
                <c:pt idx="11">
                  <c:v>129.35526011901101</c:v>
                </c:pt>
                <c:pt idx="12">
                  <c:v>126.492490756557</c:v>
                </c:pt>
                <c:pt idx="13">
                  <c:v>126.297862486678</c:v>
                </c:pt>
                <c:pt idx="14">
                  <c:v>131.524542010441</c:v>
                </c:pt>
                <c:pt idx="15">
                  <c:v>144.737487689576</c:v>
                </c:pt>
                <c:pt idx="16">
                  <c:v>152.912467420459</c:v>
                </c:pt>
                <c:pt idx="17">
                  <c:v>157.414459086752</c:v>
                </c:pt>
                <c:pt idx="18">
                  <c:v>166.91088552732</c:v>
                </c:pt>
                <c:pt idx="19">
                  <c:v>149.03934590048601</c:v>
                </c:pt>
                <c:pt idx="20">
                  <c:v>165.93022734285299</c:v>
                </c:pt>
                <c:pt idx="21">
                  <c:v>184.70810022369</c:v>
                </c:pt>
                <c:pt idx="22">
                  <c:v>193.126595727145</c:v>
                </c:pt>
                <c:pt idx="23">
                  <c:v>188.772047429319</c:v>
                </c:pt>
                <c:pt idx="24">
                  <c:v>183.10304297424301</c:v>
                </c:pt>
                <c:pt idx="25">
                  <c:v>167.14845321820499</c:v>
                </c:pt>
                <c:pt idx="26">
                  <c:v>160.44509551039499</c:v>
                </c:pt>
                <c:pt idx="27">
                  <c:v>169.56422561121201</c:v>
                </c:pt>
                <c:pt idx="28">
                  <c:v>185.131144179231</c:v>
                </c:pt>
                <c:pt idx="29">
                  <c:v>184.99490671036099</c:v>
                </c:pt>
                <c:pt idx="30">
                  <c:v>166.962688295525</c:v>
                </c:pt>
                <c:pt idx="31">
                  <c:v>190.424656548423</c:v>
                </c:pt>
                <c:pt idx="32">
                  <c:v>219.95093875684199</c:v>
                </c:pt>
                <c:pt idx="33">
                  <c:v>230.31044963376499</c:v>
                </c:pt>
                <c:pt idx="34">
                  <c:v>221.88301740142299</c:v>
                </c:pt>
                <c:pt idx="35">
                  <c:v>210.459771914924</c:v>
                </c:pt>
              </c:numCache>
            </c:numRef>
          </c:val>
          <c:smooth val="0"/>
          <c:extLst>
            <c:ext xmlns:c16="http://schemas.microsoft.com/office/drawing/2014/chart" uri="{C3380CC4-5D6E-409C-BE32-E72D297353CC}">
              <c16:uniqueId val="{00000000-E20D-4764-8430-C50E5D5AC253}"/>
            </c:ext>
          </c:extLst>
        </c:ser>
        <c:ser>
          <c:idx val="1"/>
          <c:order val="1"/>
          <c:tx>
            <c:strRef>
              <c:f>'Graphique 2'!$C$1</c:f>
              <c:strCache>
                <c:ptCount val="1"/>
                <c:pt idx="0">
                  <c:v>Gazole</c:v>
                </c:pt>
              </c:strCache>
            </c:strRef>
          </c:tx>
          <c:spPr>
            <a:ln w="28575" cap="rnd">
              <a:solidFill>
                <a:schemeClr val="accent2"/>
              </a:solidFill>
              <a:round/>
            </a:ln>
            <a:effectLst/>
          </c:spPr>
          <c:marker>
            <c:symbol val="none"/>
          </c:marker>
          <c:cat>
            <c:numRef>
              <c:f>'Graphique 2'!$A$2:$A$37</c:f>
              <c:numCache>
                <c:formatCode>General</c:formatCode>
                <c:ptCount val="36"/>
                <c:pt idx="0">
                  <c:v>1990</c:v>
                </c:pt>
                <c:pt idx="5">
                  <c:v>1995</c:v>
                </c:pt>
                <c:pt idx="10">
                  <c:v>2000</c:v>
                </c:pt>
                <c:pt idx="15">
                  <c:v>2005</c:v>
                </c:pt>
                <c:pt idx="20">
                  <c:v>2010</c:v>
                </c:pt>
                <c:pt idx="25">
                  <c:v>2015</c:v>
                </c:pt>
                <c:pt idx="30">
                  <c:v>2020</c:v>
                </c:pt>
                <c:pt idx="35">
                  <c:v>2025</c:v>
                </c:pt>
              </c:numCache>
            </c:numRef>
          </c:cat>
          <c:val>
            <c:numRef>
              <c:f>'Graphique 2'!$C$2:$C$37</c:f>
              <c:numCache>
                <c:formatCode>General</c:formatCode>
                <c:ptCount val="36"/>
                <c:pt idx="0">
                  <c:v>100</c:v>
                </c:pt>
                <c:pt idx="1">
                  <c:v>100.757453107158</c:v>
                </c:pt>
                <c:pt idx="2">
                  <c:v>97.305631698139095</c:v>
                </c:pt>
                <c:pt idx="3">
                  <c:v>103.28348681602399</c:v>
                </c:pt>
                <c:pt idx="4">
                  <c:v>108.53757500958601</c:v>
                </c:pt>
                <c:pt idx="5">
                  <c:v>108.315749571103</c:v>
                </c:pt>
                <c:pt idx="6">
                  <c:v>120.572310219706</c:v>
                </c:pt>
                <c:pt idx="7">
                  <c:v>124.827409098125</c:v>
                </c:pt>
                <c:pt idx="8">
                  <c:v>118.551209510547</c:v>
                </c:pt>
                <c:pt idx="9">
                  <c:v>127.33447713539699</c:v>
                </c:pt>
                <c:pt idx="10">
                  <c:v>156.279151483742</c:v>
                </c:pt>
                <c:pt idx="11">
                  <c:v>146.902548728293</c:v>
                </c:pt>
                <c:pt idx="12">
                  <c:v>142.54820369074901</c:v>
                </c:pt>
                <c:pt idx="13">
                  <c:v>146.432473531401</c:v>
                </c:pt>
                <c:pt idx="14">
                  <c:v>163.27019595318399</c:v>
                </c:pt>
                <c:pt idx="15">
                  <c:v>189.49324911818701</c:v>
                </c:pt>
                <c:pt idx="16">
                  <c:v>198.85083089640801</c:v>
                </c:pt>
                <c:pt idx="17">
                  <c:v>202.06620203876901</c:v>
                </c:pt>
                <c:pt idx="18">
                  <c:v>233.83768887957899</c:v>
                </c:pt>
                <c:pt idx="19">
                  <c:v>184.98037279961301</c:v>
                </c:pt>
                <c:pt idx="20">
                  <c:v>211.628740458094</c:v>
                </c:pt>
                <c:pt idx="21">
                  <c:v>246.451455010026</c:v>
                </c:pt>
                <c:pt idx="22">
                  <c:v>257.58565355851698</c:v>
                </c:pt>
                <c:pt idx="23">
                  <c:v>249.17138927438</c:v>
                </c:pt>
                <c:pt idx="24">
                  <c:v>237.25677117378501</c:v>
                </c:pt>
                <c:pt idx="25">
                  <c:v>212.11299471748299</c:v>
                </c:pt>
                <c:pt idx="26">
                  <c:v>204.016015474037</c:v>
                </c:pt>
                <c:pt idx="27">
                  <c:v>227.45986180868499</c:v>
                </c:pt>
                <c:pt idx="28">
                  <c:v>265.22805131974798</c:v>
                </c:pt>
                <c:pt idx="29">
                  <c:v>265.83247721296499</c:v>
                </c:pt>
                <c:pt idx="30">
                  <c:v>232.507888032951</c:v>
                </c:pt>
                <c:pt idx="31">
                  <c:v>263.92335243863698</c:v>
                </c:pt>
                <c:pt idx="32">
                  <c:v>341.10758071246403</c:v>
                </c:pt>
                <c:pt idx="33">
                  <c:v>331.220137000958</c:v>
                </c:pt>
                <c:pt idx="34">
                  <c:v>312.69129461998699</c:v>
                </c:pt>
                <c:pt idx="35">
                  <c:v>298.69981648350802</c:v>
                </c:pt>
              </c:numCache>
            </c:numRef>
          </c:val>
          <c:smooth val="0"/>
          <c:extLst>
            <c:ext xmlns:c16="http://schemas.microsoft.com/office/drawing/2014/chart" uri="{C3380CC4-5D6E-409C-BE32-E72D297353CC}">
              <c16:uniqueId val="{00000001-E20D-4764-8430-C50E5D5AC253}"/>
            </c:ext>
          </c:extLst>
        </c:ser>
        <c:ser>
          <c:idx val="2"/>
          <c:order val="2"/>
          <c:tx>
            <c:strRef>
              <c:f>'Graphique 2'!$D$1</c:f>
              <c:strCache>
                <c:ptCount val="1"/>
                <c:pt idx="0">
                  <c:v>GPLc*</c:v>
                </c:pt>
              </c:strCache>
            </c:strRef>
          </c:tx>
          <c:spPr>
            <a:ln w="28575" cap="rnd">
              <a:solidFill>
                <a:schemeClr val="accent3"/>
              </a:solidFill>
              <a:round/>
            </a:ln>
            <a:effectLst/>
          </c:spPr>
          <c:marker>
            <c:symbol val="none"/>
          </c:marker>
          <c:cat>
            <c:numRef>
              <c:f>'Graphique 2'!$A$2:$A$37</c:f>
              <c:numCache>
                <c:formatCode>General</c:formatCode>
                <c:ptCount val="36"/>
                <c:pt idx="0">
                  <c:v>1990</c:v>
                </c:pt>
                <c:pt idx="5">
                  <c:v>1995</c:v>
                </c:pt>
                <c:pt idx="10">
                  <c:v>2000</c:v>
                </c:pt>
                <c:pt idx="15">
                  <c:v>2005</c:v>
                </c:pt>
                <c:pt idx="20">
                  <c:v>2010</c:v>
                </c:pt>
                <c:pt idx="25">
                  <c:v>2015</c:v>
                </c:pt>
                <c:pt idx="30">
                  <c:v>2020</c:v>
                </c:pt>
                <c:pt idx="35">
                  <c:v>2025</c:v>
                </c:pt>
              </c:numCache>
            </c:numRef>
          </c:cat>
          <c:val>
            <c:numRef>
              <c:f>'Graphique 2'!$D$2:$D$37</c:f>
              <c:numCache>
                <c:formatCode>General</c:formatCode>
                <c:ptCount val="36"/>
                <c:pt idx="7">
                  <c:v>100</c:v>
                </c:pt>
                <c:pt idx="8">
                  <c:v>96.510420243971296</c:v>
                </c:pt>
                <c:pt idx="9">
                  <c:v>99.330609507373893</c:v>
                </c:pt>
                <c:pt idx="10">
                  <c:v>120.331000686965</c:v>
                </c:pt>
                <c:pt idx="11">
                  <c:v>116.485374159261</c:v>
                </c:pt>
                <c:pt idx="12">
                  <c:v>114.216564578188</c:v>
                </c:pt>
                <c:pt idx="13">
                  <c:v>123.501664594405</c:v>
                </c:pt>
                <c:pt idx="14">
                  <c:v>130.06601425234101</c:v>
                </c:pt>
                <c:pt idx="15">
                  <c:v>147.78960661087601</c:v>
                </c:pt>
                <c:pt idx="16">
                  <c:v>163.23769735735101</c:v>
                </c:pt>
                <c:pt idx="17">
                  <c:v>163.46523251349001</c:v>
                </c:pt>
                <c:pt idx="18">
                  <c:v>175.23520641556499</c:v>
                </c:pt>
                <c:pt idx="19">
                  <c:v>155.05828045505001</c:v>
                </c:pt>
                <c:pt idx="20">
                  <c:v>169.47928804201501</c:v>
                </c:pt>
                <c:pt idx="21">
                  <c:v>196.202018784068</c:v>
                </c:pt>
                <c:pt idx="22">
                  <c:v>202.69185161618501</c:v>
                </c:pt>
                <c:pt idx="23">
                  <c:v>200.59366820548701</c:v>
                </c:pt>
                <c:pt idx="24">
                  <c:v>196.76975213482501</c:v>
                </c:pt>
                <c:pt idx="25">
                  <c:v>180.730511798224</c:v>
                </c:pt>
                <c:pt idx="26">
                  <c:v>162.945448685288</c:v>
                </c:pt>
                <c:pt idx="27">
                  <c:v>170.50967676600001</c:v>
                </c:pt>
                <c:pt idx="28">
                  <c:v>188.63543657519699</c:v>
                </c:pt>
                <c:pt idx="29">
                  <c:v>196.74116665016001</c:v>
                </c:pt>
                <c:pt idx="30">
                  <c:v>194.10118447834901</c:v>
                </c:pt>
                <c:pt idx="31">
                  <c:v>196.065464345793</c:v>
                </c:pt>
                <c:pt idx="32">
                  <c:v>193.99426504575399</c:v>
                </c:pt>
                <c:pt idx="33">
                  <c:v>225.19662491385799</c:v>
                </c:pt>
                <c:pt idx="34">
                  <c:v>226.702775102754</c:v>
                </c:pt>
                <c:pt idx="35">
                  <c:v>222.38535074197799</c:v>
                </c:pt>
              </c:numCache>
            </c:numRef>
          </c:val>
          <c:smooth val="0"/>
          <c:extLst>
            <c:ext xmlns:c16="http://schemas.microsoft.com/office/drawing/2014/chart" uri="{C3380CC4-5D6E-409C-BE32-E72D297353CC}">
              <c16:uniqueId val="{00000002-E20D-4764-8430-C50E5D5AC253}"/>
            </c:ext>
          </c:extLst>
        </c:ser>
        <c:ser>
          <c:idx val="3"/>
          <c:order val="3"/>
          <c:tx>
            <c:strRef>
              <c:f>'Graphique 2'!$E$1</c:f>
              <c:strCache>
                <c:ptCount val="1"/>
                <c:pt idx="0">
                  <c:v>IPC</c:v>
                </c:pt>
              </c:strCache>
            </c:strRef>
          </c:tx>
          <c:spPr>
            <a:ln w="28575" cap="rnd">
              <a:solidFill>
                <a:schemeClr val="tx1"/>
              </a:solidFill>
              <a:prstDash val="dash"/>
              <a:round/>
            </a:ln>
            <a:effectLst/>
          </c:spPr>
          <c:marker>
            <c:symbol val="none"/>
          </c:marker>
          <c:cat>
            <c:numRef>
              <c:f>'Graphique 2'!$A$2:$A$37</c:f>
              <c:numCache>
                <c:formatCode>General</c:formatCode>
                <c:ptCount val="36"/>
                <c:pt idx="0">
                  <c:v>1990</c:v>
                </c:pt>
                <c:pt idx="5">
                  <c:v>1995</c:v>
                </c:pt>
                <c:pt idx="10">
                  <c:v>2000</c:v>
                </c:pt>
                <c:pt idx="15">
                  <c:v>2005</c:v>
                </c:pt>
                <c:pt idx="20">
                  <c:v>2010</c:v>
                </c:pt>
                <c:pt idx="25">
                  <c:v>2015</c:v>
                </c:pt>
                <c:pt idx="30">
                  <c:v>2020</c:v>
                </c:pt>
                <c:pt idx="35">
                  <c:v>2025</c:v>
                </c:pt>
              </c:numCache>
            </c:numRef>
          </c:cat>
          <c:val>
            <c:numRef>
              <c:f>'Graphique 2'!$E$2:$E$37</c:f>
              <c:numCache>
                <c:formatCode>General</c:formatCode>
                <c:ptCount val="36"/>
                <c:pt idx="0">
                  <c:v>100</c:v>
                </c:pt>
                <c:pt idx="1">
                  <c:v>103.21492138831201</c:v>
                </c:pt>
                <c:pt idx="2">
                  <c:v>105.654850192821</c:v>
                </c:pt>
                <c:pt idx="3">
                  <c:v>107.879709285079</c:v>
                </c:pt>
                <c:pt idx="4">
                  <c:v>109.662068624543</c:v>
                </c:pt>
                <c:pt idx="5">
                  <c:v>111.636013052507</c:v>
                </c:pt>
                <c:pt idx="6">
                  <c:v>113.849747849303</c:v>
                </c:pt>
                <c:pt idx="7">
                  <c:v>115.22050825669901</c:v>
                </c:pt>
                <c:pt idx="8">
                  <c:v>115.96583605260599</c:v>
                </c:pt>
                <c:pt idx="9">
                  <c:v>116.596212795412</c:v>
                </c:pt>
                <c:pt idx="10">
                  <c:v>118.54296450113701</c:v>
                </c:pt>
                <c:pt idx="11">
                  <c:v>120.484772075546</c:v>
                </c:pt>
                <c:pt idx="12">
                  <c:v>122.798625531494</c:v>
                </c:pt>
                <c:pt idx="13">
                  <c:v>125.379462078513</c:v>
                </c:pt>
                <c:pt idx="14">
                  <c:v>128.06288935034101</c:v>
                </c:pt>
                <c:pt idx="15">
                  <c:v>130.30010877088901</c:v>
                </c:pt>
                <c:pt idx="16">
                  <c:v>132.482942746959</c:v>
                </c:pt>
                <c:pt idx="17">
                  <c:v>134.45317907643599</c:v>
                </c:pt>
                <c:pt idx="18">
                  <c:v>138.23791159893199</c:v>
                </c:pt>
                <c:pt idx="19">
                  <c:v>138.35657075051901</c:v>
                </c:pt>
                <c:pt idx="20">
                  <c:v>140.476367052309</c:v>
                </c:pt>
                <c:pt idx="21">
                  <c:v>143.45149807178899</c:v>
                </c:pt>
                <c:pt idx="22">
                  <c:v>146.25482052803301</c:v>
                </c:pt>
                <c:pt idx="23">
                  <c:v>147.51804607930401</c:v>
                </c:pt>
                <c:pt idx="24">
                  <c:v>148.267081973697</c:v>
                </c:pt>
                <c:pt idx="25">
                  <c:v>148.322703451004</c:v>
                </c:pt>
                <c:pt idx="26">
                  <c:v>148.59463067339101</c:v>
                </c:pt>
                <c:pt idx="27">
                  <c:v>150.12854741421901</c:v>
                </c:pt>
                <c:pt idx="28">
                  <c:v>152.907149213883</c:v>
                </c:pt>
                <c:pt idx="29">
                  <c:v>154.601750222486</c:v>
                </c:pt>
                <c:pt idx="30">
                  <c:v>155.33842578858901</c:v>
                </c:pt>
                <c:pt idx="31">
                  <c:v>157.88959754771099</c:v>
                </c:pt>
                <c:pt idx="32">
                  <c:v>166.135172550183</c:v>
                </c:pt>
                <c:pt idx="33">
                  <c:v>174.23983981014501</c:v>
                </c:pt>
                <c:pt idx="34">
                  <c:v>177.72298032235699</c:v>
                </c:pt>
                <c:pt idx="35">
                  <c:v>179.40027687135401</c:v>
                </c:pt>
              </c:numCache>
            </c:numRef>
          </c:val>
          <c:smooth val="0"/>
          <c:extLst>
            <c:ext xmlns:c16="http://schemas.microsoft.com/office/drawing/2014/chart" uri="{C3380CC4-5D6E-409C-BE32-E72D297353CC}">
              <c16:uniqueId val="{00000003-E20D-4764-8430-C50E5D5AC253}"/>
            </c:ext>
          </c:extLst>
        </c:ser>
        <c:dLbls>
          <c:showLegendKey val="0"/>
          <c:showVal val="0"/>
          <c:showCatName val="0"/>
          <c:showSerName val="0"/>
          <c:showPercent val="0"/>
          <c:showBubbleSize val="0"/>
        </c:dLbls>
        <c:smooth val="0"/>
        <c:axId val="1258743632"/>
        <c:axId val="1258749456"/>
      </c:lineChart>
      <c:catAx>
        <c:axId val="125874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58749456"/>
        <c:crosses val="autoZero"/>
        <c:auto val="1"/>
        <c:lblAlgn val="ctr"/>
        <c:lblOffset val="100"/>
        <c:noMultiLvlLbl val="0"/>
      </c:catAx>
      <c:valAx>
        <c:axId val="125874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5874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'Graphique 3'!$B$1</c:f>
              <c:strCache>
                <c:ptCount val="1"/>
                <c:pt idx="0">
                  <c:v>Butane</c:v>
                </c:pt>
              </c:strCache>
            </c:strRef>
          </c:tx>
          <c:spPr>
            <a:ln w="28575" cap="rnd">
              <a:solidFill>
                <a:schemeClr val="accent1"/>
              </a:solidFill>
              <a:round/>
            </a:ln>
            <a:effectLst/>
          </c:spPr>
          <c:marker>
            <c:symbol val="none"/>
          </c:marker>
          <c:cat>
            <c:numRef>
              <c:f>'Graphique 3'!$A$2:$A$37</c:f>
              <c:numCache>
                <c:formatCode>General</c:formatCode>
                <c:ptCount val="36"/>
                <c:pt idx="0">
                  <c:v>1990</c:v>
                </c:pt>
                <c:pt idx="5">
                  <c:v>1995</c:v>
                </c:pt>
                <c:pt idx="10">
                  <c:v>2000</c:v>
                </c:pt>
                <c:pt idx="15">
                  <c:v>2005</c:v>
                </c:pt>
                <c:pt idx="20">
                  <c:v>2010</c:v>
                </c:pt>
                <c:pt idx="25">
                  <c:v>2015</c:v>
                </c:pt>
                <c:pt idx="30">
                  <c:v>2020</c:v>
                </c:pt>
                <c:pt idx="35">
                  <c:v>2025</c:v>
                </c:pt>
              </c:numCache>
            </c:numRef>
          </c:cat>
          <c:val>
            <c:numRef>
              <c:f>'Graphique 3'!$B$2:$B$37</c:f>
              <c:numCache>
                <c:formatCode>General</c:formatCode>
                <c:ptCount val="36"/>
                <c:pt idx="0">
                  <c:v>100</c:v>
                </c:pt>
                <c:pt idx="1">
                  <c:v>88.725363945202901</c:v>
                </c:pt>
                <c:pt idx="2">
                  <c:v>91.621073961499704</c:v>
                </c:pt>
                <c:pt idx="3">
                  <c:v>92.396428607154107</c:v>
                </c:pt>
                <c:pt idx="4">
                  <c:v>92.5902672685677</c:v>
                </c:pt>
                <c:pt idx="5">
                  <c:v>93.8825250113251</c:v>
                </c:pt>
                <c:pt idx="6">
                  <c:v>97.888524013872996</c:v>
                </c:pt>
                <c:pt idx="7">
                  <c:v>106.805102438898</c:v>
                </c:pt>
                <c:pt idx="8">
                  <c:v>111.198778764274</c:v>
                </c:pt>
                <c:pt idx="9">
                  <c:v>113.00793960413399</c:v>
                </c:pt>
                <c:pt idx="10">
                  <c:v>128.90270984004999</c:v>
                </c:pt>
                <c:pt idx="11">
                  <c:v>142.27757747758901</c:v>
                </c:pt>
                <c:pt idx="12">
                  <c:v>143.82828676889801</c:v>
                </c:pt>
                <c:pt idx="13">
                  <c:v>151.129543015477</c:v>
                </c:pt>
                <c:pt idx="14">
                  <c:v>156.68625130933501</c:v>
                </c:pt>
                <c:pt idx="15">
                  <c:v>164.89208797584399</c:v>
                </c:pt>
                <c:pt idx="16">
                  <c:v>173.033311755216</c:v>
                </c:pt>
                <c:pt idx="17">
                  <c:v>175.35937569217899</c:v>
                </c:pt>
                <c:pt idx="18">
                  <c:v>185.11592164999701</c:v>
                </c:pt>
                <c:pt idx="19">
                  <c:v>181.43298708313901</c:v>
                </c:pt>
                <c:pt idx="20">
                  <c:v>181.885277293104</c:v>
                </c:pt>
                <c:pt idx="21">
                  <c:v>195.06630626922899</c:v>
                </c:pt>
                <c:pt idx="22">
                  <c:v>205.14591666273699</c:v>
                </c:pt>
                <c:pt idx="23">
                  <c:v>212.31794713503999</c:v>
                </c:pt>
                <c:pt idx="24">
                  <c:v>210.83185073086901</c:v>
                </c:pt>
                <c:pt idx="25">
                  <c:v>210.11034015783</c:v>
                </c:pt>
                <c:pt idx="26">
                  <c:v>206.712779175831</c:v>
                </c:pt>
                <c:pt idx="27">
                  <c:v>204.62362915837201</c:v>
                </c:pt>
                <c:pt idx="28">
                  <c:v>212.96946041368</c:v>
                </c:pt>
                <c:pt idx="29">
                  <c:v>222.914460625651</c:v>
                </c:pt>
                <c:pt idx="30">
                  <c:v>225.37898074933801</c:v>
                </c:pt>
                <c:pt idx="31">
                  <c:v>227.40505628173301</c:v>
                </c:pt>
                <c:pt idx="32">
                  <c:v>249.174214839934</c:v>
                </c:pt>
                <c:pt idx="33">
                  <c:v>266.66276962525097</c:v>
                </c:pt>
                <c:pt idx="34">
                  <c:v>272.28947521350602</c:v>
                </c:pt>
                <c:pt idx="35">
                  <c:v>277.08698208349398</c:v>
                </c:pt>
              </c:numCache>
            </c:numRef>
          </c:val>
          <c:smooth val="0"/>
          <c:extLst>
            <c:ext xmlns:c16="http://schemas.microsoft.com/office/drawing/2014/chart" uri="{C3380CC4-5D6E-409C-BE32-E72D297353CC}">
              <c16:uniqueId val="{00000000-1240-4701-BBF5-614EDA42E78A}"/>
            </c:ext>
          </c:extLst>
        </c:ser>
        <c:ser>
          <c:idx val="1"/>
          <c:order val="1"/>
          <c:tx>
            <c:strRef>
              <c:f>'Graphique 3'!$C$1</c:f>
              <c:strCache>
                <c:ptCount val="1"/>
                <c:pt idx="0">
                  <c:v>Propane</c:v>
                </c:pt>
              </c:strCache>
            </c:strRef>
          </c:tx>
          <c:spPr>
            <a:ln w="28575" cap="rnd">
              <a:solidFill>
                <a:schemeClr val="accent2"/>
              </a:solidFill>
              <a:round/>
            </a:ln>
            <a:effectLst/>
          </c:spPr>
          <c:marker>
            <c:symbol val="none"/>
          </c:marker>
          <c:cat>
            <c:numRef>
              <c:f>'Graphique 3'!$A$2:$A$37</c:f>
              <c:numCache>
                <c:formatCode>General</c:formatCode>
                <c:ptCount val="36"/>
                <c:pt idx="0">
                  <c:v>1990</c:v>
                </c:pt>
                <c:pt idx="5">
                  <c:v>1995</c:v>
                </c:pt>
                <c:pt idx="10">
                  <c:v>2000</c:v>
                </c:pt>
                <c:pt idx="15">
                  <c:v>2005</c:v>
                </c:pt>
                <c:pt idx="20">
                  <c:v>2010</c:v>
                </c:pt>
                <c:pt idx="25">
                  <c:v>2015</c:v>
                </c:pt>
                <c:pt idx="30">
                  <c:v>2020</c:v>
                </c:pt>
                <c:pt idx="35">
                  <c:v>2025</c:v>
                </c:pt>
              </c:numCache>
            </c:numRef>
          </c:cat>
          <c:val>
            <c:numRef>
              <c:f>'Graphique 3'!$C$2:$C$37</c:f>
              <c:numCache>
                <c:formatCode>General</c:formatCode>
                <c:ptCount val="36"/>
                <c:pt idx="0">
                  <c:v>100</c:v>
                </c:pt>
                <c:pt idx="1">
                  <c:v>108.21550971931001</c:v>
                </c:pt>
                <c:pt idx="2">
                  <c:v>108.35682802724401</c:v>
                </c:pt>
                <c:pt idx="3">
                  <c:v>106.515628348256</c:v>
                </c:pt>
                <c:pt idx="4">
                  <c:v>107.08202204229499</c:v>
                </c:pt>
                <c:pt idx="5">
                  <c:v>121.37694872904601</c:v>
                </c:pt>
                <c:pt idx="6">
                  <c:v>128.610759799493</c:v>
                </c:pt>
                <c:pt idx="7">
                  <c:v>146.23103652567099</c:v>
                </c:pt>
                <c:pt idx="8">
                  <c:v>145.97191281122599</c:v>
                </c:pt>
                <c:pt idx="9">
                  <c:v>138.34941476853299</c:v>
                </c:pt>
                <c:pt idx="10">
                  <c:v>157.39486632184401</c:v>
                </c:pt>
                <c:pt idx="11">
                  <c:v>161.04416722339599</c:v>
                </c:pt>
                <c:pt idx="12">
                  <c:v>159.73186636806301</c:v>
                </c:pt>
                <c:pt idx="13">
                  <c:v>176.34670605091699</c:v>
                </c:pt>
                <c:pt idx="14">
                  <c:v>181.36089950713699</c:v>
                </c:pt>
                <c:pt idx="15">
                  <c:v>207.06926557897799</c:v>
                </c:pt>
                <c:pt idx="16">
                  <c:v>229.76062723479799</c:v>
                </c:pt>
                <c:pt idx="17">
                  <c:v>233.50002731126901</c:v>
                </c:pt>
                <c:pt idx="18">
                  <c:v>263.62769278604401</c:v>
                </c:pt>
                <c:pt idx="19">
                  <c:v>229.48580584349099</c:v>
                </c:pt>
                <c:pt idx="20">
                  <c:v>244.62521236262</c:v>
                </c:pt>
                <c:pt idx="21">
                  <c:v>280.725667410374</c:v>
                </c:pt>
                <c:pt idx="22">
                  <c:v>301.02676364267802</c:v>
                </c:pt>
                <c:pt idx="23">
                  <c:v>285.07917357040401</c:v>
                </c:pt>
                <c:pt idx="24">
                  <c:v>287.35080660165198</c:v>
                </c:pt>
                <c:pt idx="25">
                  <c:v>269.820072374181</c:v>
                </c:pt>
                <c:pt idx="26">
                  <c:v>256.238958382443</c:v>
                </c:pt>
                <c:pt idx="27">
                  <c:v>282.69486360719702</c:v>
                </c:pt>
                <c:pt idx="28">
                  <c:v>307.25383164637401</c:v>
                </c:pt>
                <c:pt idx="29">
                  <c:v>319.72053213696699</c:v>
                </c:pt>
                <c:pt idx="30">
                  <c:v>313.75912583283298</c:v>
                </c:pt>
                <c:pt idx="31">
                  <c:v>319.417368463255</c:v>
                </c:pt>
                <c:pt idx="32">
                  <c:v>336.555893730847</c:v>
                </c:pt>
                <c:pt idx="33">
                  <c:v>356.90036529822402</c:v>
                </c:pt>
                <c:pt idx="34">
                  <c:v>366.25522310016601</c:v>
                </c:pt>
                <c:pt idx="35">
                  <c:v>367.45645245576299</c:v>
                </c:pt>
              </c:numCache>
            </c:numRef>
          </c:val>
          <c:smooth val="0"/>
          <c:extLst>
            <c:ext xmlns:c16="http://schemas.microsoft.com/office/drawing/2014/chart" uri="{C3380CC4-5D6E-409C-BE32-E72D297353CC}">
              <c16:uniqueId val="{00000001-1240-4701-BBF5-614EDA42E78A}"/>
            </c:ext>
          </c:extLst>
        </c:ser>
        <c:ser>
          <c:idx val="2"/>
          <c:order val="2"/>
          <c:tx>
            <c:strRef>
              <c:f>'Graphique 3'!$D$1</c:f>
              <c:strCache>
                <c:ptCount val="1"/>
                <c:pt idx="0">
                  <c:v>Fioul domestique</c:v>
                </c:pt>
              </c:strCache>
            </c:strRef>
          </c:tx>
          <c:spPr>
            <a:ln w="28575" cap="rnd">
              <a:solidFill>
                <a:srgbClr val="00B050"/>
              </a:solidFill>
              <a:round/>
            </a:ln>
            <a:effectLst/>
          </c:spPr>
          <c:marker>
            <c:symbol val="none"/>
          </c:marker>
          <c:cat>
            <c:numRef>
              <c:f>'Graphique 3'!$A$2:$A$37</c:f>
              <c:numCache>
                <c:formatCode>General</c:formatCode>
                <c:ptCount val="36"/>
                <c:pt idx="0">
                  <c:v>1990</c:v>
                </c:pt>
                <c:pt idx="5">
                  <c:v>1995</c:v>
                </c:pt>
                <c:pt idx="10">
                  <c:v>2000</c:v>
                </c:pt>
                <c:pt idx="15">
                  <c:v>2005</c:v>
                </c:pt>
                <c:pt idx="20">
                  <c:v>2010</c:v>
                </c:pt>
                <c:pt idx="25">
                  <c:v>2015</c:v>
                </c:pt>
                <c:pt idx="30">
                  <c:v>2020</c:v>
                </c:pt>
                <c:pt idx="35">
                  <c:v>2025</c:v>
                </c:pt>
              </c:numCache>
            </c:numRef>
          </c:cat>
          <c:val>
            <c:numRef>
              <c:f>'Graphique 3'!$D$2:$D$37</c:f>
              <c:numCache>
                <c:formatCode>General</c:formatCode>
                <c:ptCount val="36"/>
                <c:pt idx="0">
                  <c:v>100</c:v>
                </c:pt>
                <c:pt idx="1">
                  <c:v>102.944401680122</c:v>
                </c:pt>
                <c:pt idx="2">
                  <c:v>91.828959708378207</c:v>
                </c:pt>
                <c:pt idx="3">
                  <c:v>93.823244680285697</c:v>
                </c:pt>
                <c:pt idx="4">
                  <c:v>91.377115710231095</c:v>
                </c:pt>
                <c:pt idx="5">
                  <c:v>89.644271585246599</c:v>
                </c:pt>
                <c:pt idx="6">
                  <c:v>98.395832892586398</c:v>
                </c:pt>
                <c:pt idx="7">
                  <c:v>103.366099559175</c:v>
                </c:pt>
                <c:pt idx="8">
                  <c:v>88.593983283205901</c:v>
                </c:pt>
                <c:pt idx="9">
                  <c:v>96.658684582561506</c:v>
                </c:pt>
                <c:pt idx="10">
                  <c:v>136.16865910910701</c:v>
                </c:pt>
                <c:pt idx="11">
                  <c:v>115.75224685050399</c:v>
                </c:pt>
                <c:pt idx="12">
                  <c:v>107.66442815724599</c:v>
                </c:pt>
                <c:pt idx="13">
                  <c:v>114.62415389854</c:v>
                </c:pt>
                <c:pt idx="14">
                  <c:v>132.38322767821501</c:v>
                </c:pt>
                <c:pt idx="15">
                  <c:v>172.821967832447</c:v>
                </c:pt>
                <c:pt idx="16">
                  <c:v>190.86486303526399</c:v>
                </c:pt>
                <c:pt idx="17">
                  <c:v>191.526831909121</c:v>
                </c:pt>
                <c:pt idx="18">
                  <c:v>245.12424506240399</c:v>
                </c:pt>
                <c:pt idx="19">
                  <c:v>169.33503264477201</c:v>
                </c:pt>
                <c:pt idx="20">
                  <c:v>210.64487942818801</c:v>
                </c:pt>
                <c:pt idx="21">
                  <c:v>261.21857547756099</c:v>
                </c:pt>
                <c:pt idx="22">
                  <c:v>285.04209972669997</c:v>
                </c:pt>
                <c:pt idx="23">
                  <c:v>272.79963605788299</c:v>
                </c:pt>
                <c:pt idx="24">
                  <c:v>252.993187880867</c:v>
                </c:pt>
                <c:pt idx="25">
                  <c:v>207.66472779717401</c:v>
                </c:pt>
                <c:pt idx="26">
                  <c:v>187.59615019429799</c:v>
                </c:pt>
                <c:pt idx="27">
                  <c:v>218.06069435768401</c:v>
                </c:pt>
                <c:pt idx="28">
                  <c:v>268.18831561976702</c:v>
                </c:pt>
                <c:pt idx="29">
                  <c:v>273.84000218202698</c:v>
                </c:pt>
                <c:pt idx="30">
                  <c:v>223.97034507889299</c:v>
                </c:pt>
                <c:pt idx="31">
                  <c:v>265.40325234078</c:v>
                </c:pt>
                <c:pt idx="32">
                  <c:v>434.81000307548697</c:v>
                </c:pt>
                <c:pt idx="33">
                  <c:v>371.03076816616198</c:v>
                </c:pt>
                <c:pt idx="34">
                  <c:v>352.17197822459701</c:v>
                </c:pt>
                <c:pt idx="35">
                  <c:v>332.23617179939703</c:v>
                </c:pt>
              </c:numCache>
            </c:numRef>
          </c:val>
          <c:smooth val="0"/>
          <c:extLst>
            <c:ext xmlns:c16="http://schemas.microsoft.com/office/drawing/2014/chart" uri="{C3380CC4-5D6E-409C-BE32-E72D297353CC}">
              <c16:uniqueId val="{00000002-1240-4701-BBF5-614EDA42E78A}"/>
            </c:ext>
          </c:extLst>
        </c:ser>
        <c:ser>
          <c:idx val="3"/>
          <c:order val="3"/>
          <c:tx>
            <c:strRef>
              <c:f>'Graphique 3'!$E$1</c:f>
              <c:strCache>
                <c:ptCount val="1"/>
                <c:pt idx="0">
                  <c:v>IPC</c:v>
                </c:pt>
              </c:strCache>
            </c:strRef>
          </c:tx>
          <c:spPr>
            <a:ln w="28575" cap="rnd">
              <a:solidFill>
                <a:schemeClr val="tx1"/>
              </a:solidFill>
              <a:prstDash val="dash"/>
              <a:round/>
            </a:ln>
            <a:effectLst/>
          </c:spPr>
          <c:marker>
            <c:symbol val="none"/>
          </c:marker>
          <c:cat>
            <c:numRef>
              <c:f>'Graphique 3'!$A$2:$A$37</c:f>
              <c:numCache>
                <c:formatCode>General</c:formatCode>
                <c:ptCount val="36"/>
                <c:pt idx="0">
                  <c:v>1990</c:v>
                </c:pt>
                <c:pt idx="5">
                  <c:v>1995</c:v>
                </c:pt>
                <c:pt idx="10">
                  <c:v>2000</c:v>
                </c:pt>
                <c:pt idx="15">
                  <c:v>2005</c:v>
                </c:pt>
                <c:pt idx="20">
                  <c:v>2010</c:v>
                </c:pt>
                <c:pt idx="25">
                  <c:v>2015</c:v>
                </c:pt>
                <c:pt idx="30">
                  <c:v>2020</c:v>
                </c:pt>
                <c:pt idx="35">
                  <c:v>2025</c:v>
                </c:pt>
              </c:numCache>
            </c:numRef>
          </c:cat>
          <c:val>
            <c:numRef>
              <c:f>'Graphique 3'!$E$2:$E$37</c:f>
              <c:numCache>
                <c:formatCode>General</c:formatCode>
                <c:ptCount val="36"/>
                <c:pt idx="0">
                  <c:v>100</c:v>
                </c:pt>
                <c:pt idx="1">
                  <c:v>103.21492138831201</c:v>
                </c:pt>
                <c:pt idx="2">
                  <c:v>105.654850192821</c:v>
                </c:pt>
                <c:pt idx="3">
                  <c:v>107.879709285079</c:v>
                </c:pt>
                <c:pt idx="4">
                  <c:v>109.662068624543</c:v>
                </c:pt>
                <c:pt idx="5">
                  <c:v>111.636013052507</c:v>
                </c:pt>
                <c:pt idx="6">
                  <c:v>113.849747849303</c:v>
                </c:pt>
                <c:pt idx="7">
                  <c:v>115.22050825669901</c:v>
                </c:pt>
                <c:pt idx="8">
                  <c:v>115.96583605260599</c:v>
                </c:pt>
                <c:pt idx="9">
                  <c:v>116.596212795412</c:v>
                </c:pt>
                <c:pt idx="10">
                  <c:v>118.54296450113701</c:v>
                </c:pt>
                <c:pt idx="11">
                  <c:v>120.484772075546</c:v>
                </c:pt>
                <c:pt idx="12">
                  <c:v>122.798625531494</c:v>
                </c:pt>
                <c:pt idx="13">
                  <c:v>125.379462078513</c:v>
                </c:pt>
                <c:pt idx="14">
                  <c:v>128.06288935034101</c:v>
                </c:pt>
                <c:pt idx="15">
                  <c:v>130.30010877088901</c:v>
                </c:pt>
                <c:pt idx="16">
                  <c:v>132.482942746959</c:v>
                </c:pt>
                <c:pt idx="17">
                  <c:v>134.45317907643599</c:v>
                </c:pt>
                <c:pt idx="18">
                  <c:v>138.23791159893199</c:v>
                </c:pt>
                <c:pt idx="19">
                  <c:v>138.35657075051901</c:v>
                </c:pt>
                <c:pt idx="20">
                  <c:v>140.476367052309</c:v>
                </c:pt>
                <c:pt idx="21">
                  <c:v>143.45149807178899</c:v>
                </c:pt>
                <c:pt idx="22">
                  <c:v>146.25482052803301</c:v>
                </c:pt>
                <c:pt idx="23">
                  <c:v>147.51804607930401</c:v>
                </c:pt>
                <c:pt idx="24">
                  <c:v>148.267081973697</c:v>
                </c:pt>
                <c:pt idx="25">
                  <c:v>148.322703451004</c:v>
                </c:pt>
                <c:pt idx="26">
                  <c:v>148.59463067339101</c:v>
                </c:pt>
                <c:pt idx="27">
                  <c:v>150.12854741421901</c:v>
                </c:pt>
                <c:pt idx="28">
                  <c:v>152.907149213883</c:v>
                </c:pt>
                <c:pt idx="29">
                  <c:v>154.601750222486</c:v>
                </c:pt>
                <c:pt idx="30">
                  <c:v>155.33842578858901</c:v>
                </c:pt>
                <c:pt idx="31">
                  <c:v>157.88959754771099</c:v>
                </c:pt>
                <c:pt idx="32">
                  <c:v>166.135172550183</c:v>
                </c:pt>
                <c:pt idx="33">
                  <c:v>174.23983981014501</c:v>
                </c:pt>
                <c:pt idx="34">
                  <c:v>177.72298032235699</c:v>
                </c:pt>
                <c:pt idx="35">
                  <c:v>179.40027687135401</c:v>
                </c:pt>
              </c:numCache>
            </c:numRef>
          </c:val>
          <c:smooth val="0"/>
          <c:extLst>
            <c:ext xmlns:c16="http://schemas.microsoft.com/office/drawing/2014/chart" uri="{C3380CC4-5D6E-409C-BE32-E72D297353CC}">
              <c16:uniqueId val="{00000003-1240-4701-BBF5-614EDA42E78A}"/>
            </c:ext>
          </c:extLst>
        </c:ser>
        <c:dLbls>
          <c:showLegendKey val="0"/>
          <c:showVal val="0"/>
          <c:showCatName val="0"/>
          <c:showSerName val="0"/>
          <c:showPercent val="0"/>
          <c:showBubbleSize val="0"/>
        </c:dLbls>
        <c:smooth val="0"/>
        <c:axId val="1574609648"/>
        <c:axId val="1574619216"/>
      </c:lineChart>
      <c:catAx>
        <c:axId val="157460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74619216"/>
        <c:crosses val="autoZero"/>
        <c:auto val="1"/>
        <c:lblAlgn val="ctr"/>
        <c:lblOffset val="100"/>
        <c:noMultiLvlLbl val="0"/>
      </c:catAx>
      <c:valAx>
        <c:axId val="157461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74609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'Graphique 4'!$A$2</c:f>
              <c:strCache>
                <c:ptCount val="1"/>
                <c:pt idx="0">
                  <c:v>Butane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'Graphique 4'!$B$1:$C$1</c:f>
              <c:strCache>
                <c:ptCount val="2"/>
                <c:pt idx="0">
                  <c:v>2019</c:v>
                </c:pt>
                <c:pt idx="1">
                  <c:v>2025</c:v>
                </c:pt>
              </c:strCache>
            </c:strRef>
          </c:cat>
          <c:val>
            <c:numRef>
              <c:f>'Graphique 4'!$B$2:$C$2</c:f>
              <c:numCache>
                <c:formatCode>0.0</c:formatCode>
                <c:ptCount val="2"/>
                <c:pt idx="0">
                  <c:v>209.62449872402499</c:v>
                </c:pt>
                <c:pt idx="1">
                  <c:v>260.56730262891398</c:v>
                </c:pt>
              </c:numCache>
            </c:numRef>
          </c:val>
          <c:extLst>
            <c:ext xmlns:c16="http://schemas.microsoft.com/office/drawing/2014/chart" uri="{C3380CC4-5D6E-409C-BE32-E72D297353CC}">
              <c16:uniqueId val="{00000000-31ED-4602-98E9-9F3008650E80}"/>
            </c:ext>
          </c:extLst>
        </c:ser>
        <c:ser>
          <c:idx val="1"/>
          <c:order val="1"/>
          <c:tx>
            <c:strRef>
              <c:f>'Graphique 4'!$A$3</c:f>
              <c:strCache>
                <c:ptCount val="1"/>
                <c:pt idx="0">
                  <c:v>Propane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'Graphique 4'!$B$1:$C$1</c:f>
              <c:strCache>
                <c:ptCount val="2"/>
                <c:pt idx="0">
                  <c:v>2019</c:v>
                </c:pt>
                <c:pt idx="1">
                  <c:v>2025</c:v>
                </c:pt>
              </c:strCache>
            </c:strRef>
          </c:cat>
          <c:val>
            <c:numRef>
              <c:f>'Graphique 4'!$B$3:$C$3</c:f>
              <c:numCache>
                <c:formatCode>0.0</c:formatCode>
                <c:ptCount val="2"/>
                <c:pt idx="0">
                  <c:v>148.850797118548</c:v>
                </c:pt>
                <c:pt idx="1">
                  <c:v>171.07498692314999</c:v>
                </c:pt>
              </c:numCache>
            </c:numRef>
          </c:val>
          <c:extLst>
            <c:ext xmlns:c16="http://schemas.microsoft.com/office/drawing/2014/chart" uri="{C3380CC4-5D6E-409C-BE32-E72D297353CC}">
              <c16:uniqueId val="{00000001-31ED-4602-98E9-9F3008650E80}"/>
            </c:ext>
          </c:extLst>
        </c:ser>
        <c:ser>
          <c:idx val="2"/>
          <c:order val="2"/>
          <c:tx>
            <c:strRef>
              <c:f>'Graphique 4'!$A$4</c:f>
              <c:strCache>
                <c:ptCount val="1"/>
                <c:pt idx="0">
                  <c:v>Fioul domestique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'Graphique 4'!$B$1:$C$1</c:f>
              <c:strCache>
                <c:ptCount val="2"/>
                <c:pt idx="0">
                  <c:v>2019</c:v>
                </c:pt>
                <c:pt idx="1">
                  <c:v>2025</c:v>
                </c:pt>
              </c:strCache>
            </c:strRef>
          </c:cat>
          <c:val>
            <c:numRef>
              <c:f>'Graphique 4'!$B$4:$C$4</c:f>
              <c:numCache>
                <c:formatCode>0.0</c:formatCode>
                <c:ptCount val="2"/>
                <c:pt idx="0">
                  <c:v>93.3475926340233</c:v>
                </c:pt>
                <c:pt idx="1">
                  <c:v>113.253894888601</c:v>
                </c:pt>
              </c:numCache>
            </c:numRef>
          </c:val>
          <c:extLst>
            <c:ext xmlns:c16="http://schemas.microsoft.com/office/drawing/2014/chart" uri="{C3380CC4-5D6E-409C-BE32-E72D297353CC}">
              <c16:uniqueId val="{00000003-31ED-4602-98E9-9F3008650E80}"/>
            </c:ext>
          </c:extLst>
        </c:ser>
        <c:dLbls>
          <c:dLblPos val="outEnd"/>
          <c:showLegendKey val="0"/>
          <c:showVal val="1"/>
          <c:showCatName val="0"/>
          <c:showSerName val="0"/>
          <c:showPercent val="0"/>
          <c:showBubbleSize val="0"/>
        </c:dLbls>
        <c:gapWidth val="219"/>
        <c:overlap val="-27"/>
        <c:axId val="1723584112"/>
        <c:axId val="1723586192"/>
      </c:barChart>
      <c:catAx>
        <c:axId val="172358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3586192"/>
        <c:crosses val="autoZero"/>
        <c:auto val="1"/>
        <c:lblAlgn val="ctr"/>
        <c:lblOffset val="100"/>
        <c:noMultiLvlLbl val="0"/>
      </c:catAx>
      <c:valAx>
        <c:axId val="1723586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3584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Graphique_complement_1!$A$4</c:f>
              <c:strCache>
                <c:ptCount val="1"/>
                <c:pt idx="0">
                  <c:v>Supercarburant</c:v>
                </c:pt>
              </c:strCache>
            </c:strRef>
          </c:tx>
          <c:spPr>
            <a:ln w="28575" cap="rnd">
              <a:solidFill>
                <a:schemeClr val="accent1"/>
              </a:solidFill>
              <a:round/>
            </a:ln>
            <a:effectLst/>
          </c:spPr>
          <c:marker>
            <c:symbol val="none"/>
          </c:marker>
          <c:cat>
            <c:numRef>
              <c:f>Graphique_complement_1!$B$3:$BD$3</c:f>
              <c:numCache>
                <c:formatCode>General</c:formatCode>
                <c:ptCount val="55"/>
                <c:pt idx="0">
                  <c:v>1970</c:v>
                </c:pt>
                <c:pt idx="5">
                  <c:v>1975</c:v>
                </c:pt>
                <c:pt idx="10">
                  <c:v>1980</c:v>
                </c:pt>
                <c:pt idx="15">
                  <c:v>1985</c:v>
                </c:pt>
                <c:pt idx="20">
                  <c:v>1990</c:v>
                </c:pt>
                <c:pt idx="25">
                  <c:v>1995</c:v>
                </c:pt>
                <c:pt idx="30">
                  <c:v>2000</c:v>
                </c:pt>
                <c:pt idx="35">
                  <c:v>2005</c:v>
                </c:pt>
                <c:pt idx="40">
                  <c:v>2010</c:v>
                </c:pt>
                <c:pt idx="45">
                  <c:v>2015</c:v>
                </c:pt>
                <c:pt idx="50">
                  <c:v>2020</c:v>
                </c:pt>
                <c:pt idx="54">
                  <c:v>2024</c:v>
                </c:pt>
              </c:numCache>
            </c:numRef>
          </c:cat>
          <c:val>
            <c:numRef>
              <c:f>Graphique_complement_1!$B$4:$BD$4</c:f>
              <c:numCache>
                <c:formatCode>General</c:formatCode>
                <c:ptCount val="55"/>
                <c:pt idx="0">
                  <c:v>1.48175327584953</c:v>
                </c:pt>
                <c:pt idx="1">
                  <c:v>1.45067700161905</c:v>
                </c:pt>
                <c:pt idx="2">
                  <c:v>1.36656667671221</c:v>
                </c:pt>
                <c:pt idx="3">
                  <c:v>1.3032563673934401</c:v>
                </c:pt>
                <c:pt idx="4">
                  <c:v>1.6130926538826</c:v>
                </c:pt>
                <c:pt idx="5">
                  <c:v>1.50101425590738</c:v>
                </c:pt>
                <c:pt idx="6">
                  <c:v>1.4661025733397901</c:v>
                </c:pt>
                <c:pt idx="7">
                  <c:v>1.61456184790682</c:v>
                </c:pt>
                <c:pt idx="8">
                  <c:v>1.58702253952019</c:v>
                </c:pt>
                <c:pt idx="9">
                  <c:v>1.6533790587888599</c:v>
                </c:pt>
                <c:pt idx="10">
                  <c:v>1.7054662587830201</c:v>
                </c:pt>
                <c:pt idx="11">
                  <c:v>1.72374698319488</c:v>
                </c:pt>
                <c:pt idx="12">
                  <c:v>1.7460279683426501</c:v>
                </c:pt>
                <c:pt idx="13">
                  <c:v>1.7254827649314399</c:v>
                </c:pt>
                <c:pt idx="14">
                  <c:v>1.7601781927808899</c:v>
                </c:pt>
                <c:pt idx="15">
                  <c:v>1.7752059348327101</c:v>
                </c:pt>
                <c:pt idx="16">
                  <c:v>1.4634107760693</c:v>
                </c:pt>
                <c:pt idx="17">
                  <c:v>1.4411672689969801</c:v>
                </c:pt>
                <c:pt idx="18">
                  <c:v>1.39924655779216</c:v>
                </c:pt>
                <c:pt idx="19">
                  <c:v>1.4492360758177201</c:v>
                </c:pt>
                <c:pt idx="20">
                  <c:v>1.44779578698054</c:v>
                </c:pt>
                <c:pt idx="21">
                  <c:v>1.40299108002454</c:v>
                </c:pt>
                <c:pt idx="22">
                  <c:v>1.34615343405515</c:v>
                </c:pt>
                <c:pt idx="23">
                  <c:v>1.3666882908179401</c:v>
                </c:pt>
                <c:pt idx="24">
                  <c:v>1.3869052566634199</c:v>
                </c:pt>
                <c:pt idx="25">
                  <c:v>1.41798637650613</c:v>
                </c:pt>
                <c:pt idx="26">
                  <c:v>1.4773464511799901</c:v>
                </c:pt>
                <c:pt idx="27">
                  <c:v>1.5113400434737201</c:v>
                </c:pt>
                <c:pt idx="28">
                  <c:v>1.46793476632909</c:v>
                </c:pt>
                <c:pt idx="29">
                  <c:v>1.52820922995565</c:v>
                </c:pt>
                <c:pt idx="30">
                  <c:v>1.75284522137094</c:v>
                </c:pt>
                <c:pt idx="31">
                  <c:v>1.6505668117296699</c:v>
                </c:pt>
                <c:pt idx="32">
                  <c:v>1.58488956530797</c:v>
                </c:pt>
                <c:pt idx="33">
                  <c:v>1.5541613868912201</c:v>
                </c:pt>
                <c:pt idx="34">
                  <c:v>1.5841210468090701</c:v>
                </c:pt>
                <c:pt idx="35">
                  <c:v>1.7374817498031001</c:v>
                </c:pt>
                <c:pt idx="36">
                  <c:v>1.8161016770143501</c:v>
                </c:pt>
              </c:numCache>
            </c:numRef>
          </c:val>
          <c:smooth val="0"/>
          <c:extLst>
            <c:ext xmlns:c16="http://schemas.microsoft.com/office/drawing/2014/chart" uri="{C3380CC4-5D6E-409C-BE32-E72D297353CC}">
              <c16:uniqueId val="{00000000-D8CF-4C1D-99B1-7E6F51D79C5E}"/>
            </c:ext>
          </c:extLst>
        </c:ser>
        <c:ser>
          <c:idx val="1"/>
          <c:order val="1"/>
          <c:tx>
            <c:strRef>
              <c:f>Graphique_complement_1!$A$5</c:f>
              <c:strCache>
                <c:ptCount val="1"/>
                <c:pt idx="0">
                  <c:v>Gazole</c:v>
                </c:pt>
              </c:strCache>
            </c:strRef>
          </c:tx>
          <c:spPr>
            <a:ln w="28575" cap="rnd">
              <a:solidFill>
                <a:schemeClr val="accent2"/>
              </a:solidFill>
              <a:round/>
            </a:ln>
            <a:effectLst/>
          </c:spPr>
          <c:marker>
            <c:symbol val="none"/>
          </c:marker>
          <c:cat>
            <c:numRef>
              <c:f>Graphique_complement_1!$B$3:$BD$3</c:f>
              <c:numCache>
                <c:formatCode>General</c:formatCode>
                <c:ptCount val="55"/>
                <c:pt idx="0">
                  <c:v>1970</c:v>
                </c:pt>
                <c:pt idx="5">
                  <c:v>1975</c:v>
                </c:pt>
                <c:pt idx="10">
                  <c:v>1980</c:v>
                </c:pt>
                <c:pt idx="15">
                  <c:v>1985</c:v>
                </c:pt>
                <c:pt idx="20">
                  <c:v>1990</c:v>
                </c:pt>
                <c:pt idx="25">
                  <c:v>1995</c:v>
                </c:pt>
                <c:pt idx="30">
                  <c:v>2000</c:v>
                </c:pt>
                <c:pt idx="35">
                  <c:v>2005</c:v>
                </c:pt>
                <c:pt idx="40">
                  <c:v>2010</c:v>
                </c:pt>
                <c:pt idx="45">
                  <c:v>2015</c:v>
                </c:pt>
                <c:pt idx="50">
                  <c:v>2020</c:v>
                </c:pt>
                <c:pt idx="54">
                  <c:v>2024</c:v>
                </c:pt>
              </c:numCache>
            </c:numRef>
          </c:cat>
          <c:val>
            <c:numRef>
              <c:f>Graphique_complement_1!$B$5:$BD$5</c:f>
              <c:numCache>
                <c:formatCode>General</c:formatCode>
                <c:ptCount val="55"/>
                <c:pt idx="0">
                  <c:v>0.91970892983764196</c:v>
                </c:pt>
                <c:pt idx="1">
                  <c:v>0.93085107603888895</c:v>
                </c:pt>
                <c:pt idx="2">
                  <c:v>0.88826833986293496</c:v>
                </c:pt>
                <c:pt idx="3">
                  <c:v>0.83408407513180405</c:v>
                </c:pt>
                <c:pt idx="4">
                  <c:v>0.98068701116726398</c:v>
                </c:pt>
                <c:pt idx="5">
                  <c:v>0.943260324750538</c:v>
                </c:pt>
                <c:pt idx="6">
                  <c:v>0.94997462660281995</c:v>
                </c:pt>
                <c:pt idx="7">
                  <c:v>0.96463229048670296</c:v>
                </c:pt>
                <c:pt idx="8">
                  <c:v>0.95974090334620099</c:v>
                </c:pt>
                <c:pt idx="9">
                  <c:v>1.07016658257224</c:v>
                </c:pt>
                <c:pt idx="10">
                  <c:v>1.2018051706628901</c:v>
                </c:pt>
                <c:pt idx="11">
                  <c:v>1.2664263550003201</c:v>
                </c:pt>
                <c:pt idx="12">
                  <c:v>1.31738596710538</c:v>
                </c:pt>
                <c:pt idx="13">
                  <c:v>1.31773762765122</c:v>
                </c:pt>
                <c:pt idx="14">
                  <c:v>1.33644541963796</c:v>
                </c:pt>
                <c:pt idx="15">
                  <c:v>1.3519973264698699</c:v>
                </c:pt>
                <c:pt idx="16">
                  <c:v>1.0426580052842001</c:v>
                </c:pt>
                <c:pt idx="17">
                  <c:v>0.98108975735244297</c:v>
                </c:pt>
                <c:pt idx="18">
                  <c:v>0.92857744918492802</c:v>
                </c:pt>
                <c:pt idx="19">
                  <c:v>0.94861145078675102</c:v>
                </c:pt>
                <c:pt idx="20">
                  <c:v>0.96330355510134702</c:v>
                </c:pt>
                <c:pt idx="21">
                  <c:v>0.93992023871336206</c:v>
                </c:pt>
                <c:pt idx="22">
                  <c:v>0.88732157693452895</c:v>
                </c:pt>
                <c:pt idx="23">
                  <c:v>0.92240052162772801</c:v>
                </c:pt>
                <c:pt idx="24">
                  <c:v>0.95358351663843999</c:v>
                </c:pt>
                <c:pt idx="25">
                  <c:v>0.933941540932271</c:v>
                </c:pt>
                <c:pt idx="26">
                  <c:v>1.0193173625635501</c:v>
                </c:pt>
                <c:pt idx="27">
                  <c:v>1.04306649948396</c:v>
                </c:pt>
                <c:pt idx="28">
                  <c:v>0.98428823870834103</c:v>
                </c:pt>
                <c:pt idx="29">
                  <c:v>1.05183234784671</c:v>
                </c:pt>
                <c:pt idx="30">
                  <c:v>1.2699228126562301</c:v>
                </c:pt>
                <c:pt idx="31">
                  <c:v>1.17461721400075</c:v>
                </c:pt>
                <c:pt idx="32">
                  <c:v>1.11777520526477</c:v>
                </c:pt>
                <c:pt idx="33">
                  <c:v>1.1251327059626799</c:v>
                </c:pt>
                <c:pt idx="34">
                  <c:v>1.2283416497955799</c:v>
                </c:pt>
                <c:pt idx="35">
                  <c:v>1.3996773247571499</c:v>
                </c:pt>
                <c:pt idx="36">
                  <c:v>1.44528380292606</c:v>
                </c:pt>
                <c:pt idx="37">
                  <c:v>1.4471082637580801</c:v>
                </c:pt>
                <c:pt idx="38">
                  <c:v>1.62882738233765</c:v>
                </c:pt>
                <c:pt idx="39">
                  <c:v>1.2874003322971399</c:v>
                </c:pt>
                <c:pt idx="40">
                  <c:v>1.45078103645089</c:v>
                </c:pt>
                <c:pt idx="41">
                  <c:v>1.65456206501595</c:v>
                </c:pt>
                <c:pt idx="42">
                  <c:v>1.69616389959432</c:v>
                </c:pt>
                <c:pt idx="43">
                  <c:v>1.62657007610327</c:v>
                </c:pt>
                <c:pt idx="44">
                  <c:v>1.54104538045988</c:v>
                </c:pt>
                <c:pt idx="45">
                  <c:v>1.3771788207692299</c:v>
                </c:pt>
                <c:pt idx="46">
                  <c:v>1.32222782915281</c:v>
                </c:pt>
                <c:pt idx="47">
                  <c:v>1.45902084800055</c:v>
                </c:pt>
                <c:pt idx="48">
                  <c:v>1.6704211279539201</c:v>
                </c:pt>
                <c:pt idx="49">
                  <c:v>1.65591622011971</c:v>
                </c:pt>
                <c:pt idx="50">
                  <c:v>1.4414170250975</c:v>
                </c:pt>
                <c:pt idx="51">
                  <c:v>1.60973806180597</c:v>
                </c:pt>
                <c:pt idx="52">
                  <c:v>1.97723201362516</c:v>
                </c:pt>
                <c:pt idx="53">
                  <c:v>1.83068162869734</c:v>
                </c:pt>
                <c:pt idx="54">
                  <c:v>1.694375</c:v>
                </c:pt>
              </c:numCache>
            </c:numRef>
          </c:val>
          <c:smooth val="0"/>
          <c:extLst>
            <c:ext xmlns:c16="http://schemas.microsoft.com/office/drawing/2014/chart" uri="{C3380CC4-5D6E-409C-BE32-E72D297353CC}">
              <c16:uniqueId val="{00000001-D8CF-4C1D-99B1-7E6F51D79C5E}"/>
            </c:ext>
          </c:extLst>
        </c:ser>
        <c:ser>
          <c:idx val="2"/>
          <c:order val="2"/>
          <c:tx>
            <c:strRef>
              <c:f>Graphique_complement_1!$A$6</c:f>
              <c:strCache>
                <c:ptCount val="1"/>
                <c:pt idx="0">
                  <c:v>SP95</c:v>
                </c:pt>
              </c:strCache>
            </c:strRef>
          </c:tx>
          <c:spPr>
            <a:ln w="28575" cap="rnd">
              <a:solidFill>
                <a:schemeClr val="accent3"/>
              </a:solidFill>
              <a:round/>
            </a:ln>
            <a:effectLst/>
          </c:spPr>
          <c:marker>
            <c:symbol val="none"/>
          </c:marker>
          <c:cat>
            <c:numRef>
              <c:f>Graphique_complement_1!$B$3:$BD$3</c:f>
              <c:numCache>
                <c:formatCode>General</c:formatCode>
                <c:ptCount val="55"/>
                <c:pt idx="0">
                  <c:v>1970</c:v>
                </c:pt>
                <c:pt idx="5">
                  <c:v>1975</c:v>
                </c:pt>
                <c:pt idx="10">
                  <c:v>1980</c:v>
                </c:pt>
                <c:pt idx="15">
                  <c:v>1985</c:v>
                </c:pt>
                <c:pt idx="20">
                  <c:v>1990</c:v>
                </c:pt>
                <c:pt idx="25">
                  <c:v>1995</c:v>
                </c:pt>
                <c:pt idx="30">
                  <c:v>2000</c:v>
                </c:pt>
                <c:pt idx="35">
                  <c:v>2005</c:v>
                </c:pt>
                <c:pt idx="40">
                  <c:v>2010</c:v>
                </c:pt>
                <c:pt idx="45">
                  <c:v>2015</c:v>
                </c:pt>
                <c:pt idx="50">
                  <c:v>2020</c:v>
                </c:pt>
                <c:pt idx="54">
                  <c:v>2024</c:v>
                </c:pt>
              </c:numCache>
            </c:numRef>
          </c:cat>
          <c:val>
            <c:numRef>
              <c:f>Graphique_complement_1!$B$6:$BD$6</c:f>
              <c:numCache>
                <c:formatCode>General</c:formatCode>
                <c:ptCount val="55"/>
                <c:pt idx="20">
                  <c:v>1.44528666316151</c:v>
                </c:pt>
                <c:pt idx="21">
                  <c:v>1.34797775084101</c:v>
                </c:pt>
                <c:pt idx="22">
                  <c:v>1.27930212235987</c:v>
                </c:pt>
                <c:pt idx="23">
                  <c:v>1.28345322239293</c:v>
                </c:pt>
                <c:pt idx="24">
                  <c:v>1.3020091853284601</c:v>
                </c:pt>
                <c:pt idx="25">
                  <c:v>1.3636386243394101</c:v>
                </c:pt>
                <c:pt idx="26">
                  <c:v>1.41837387976367</c:v>
                </c:pt>
                <c:pt idx="27">
                  <c:v>1.4512539198765999</c:v>
                </c:pt>
                <c:pt idx="28">
                  <c:v>1.40748130819831</c:v>
                </c:pt>
                <c:pt idx="29">
                  <c:v>1.4558292006759399</c:v>
                </c:pt>
                <c:pt idx="30">
                  <c:v>1.6371868353075301</c:v>
                </c:pt>
                <c:pt idx="31">
                  <c:v>1.52413675146909</c:v>
                </c:pt>
                <c:pt idx="32">
                  <c:v>1.46822163333612</c:v>
                </c:pt>
                <c:pt idx="33">
                  <c:v>1.4411259148839299</c:v>
                </c:pt>
                <c:pt idx="34">
                  <c:v>1.4720971140602099</c:v>
                </c:pt>
                <c:pt idx="35">
                  <c:v>1.5893031963769999</c:v>
                </c:pt>
                <c:pt idx="36">
                  <c:v>1.6589661906156099</c:v>
                </c:pt>
                <c:pt idx="37">
                  <c:v>1.6870115753703601</c:v>
                </c:pt>
                <c:pt idx="38">
                  <c:v>1.7402319093362399</c:v>
                </c:pt>
                <c:pt idx="39">
                  <c:v>1.55308216603313</c:v>
                </c:pt>
                <c:pt idx="40">
                  <c:v>1.7033668469588401</c:v>
                </c:pt>
                <c:pt idx="41">
                  <c:v>1.8578661732538999</c:v>
                </c:pt>
                <c:pt idx="42">
                  <c:v>1.9027501064908701</c:v>
                </c:pt>
                <c:pt idx="43">
                  <c:v>1.8513125036736799</c:v>
                </c:pt>
                <c:pt idx="44">
                  <c:v>1.77953879744205</c:v>
                </c:pt>
                <c:pt idx="45">
                  <c:v>1.6212959411538499</c:v>
                </c:pt>
                <c:pt idx="46">
                  <c:v>1.5595687106604299</c:v>
                </c:pt>
                <c:pt idx="47">
                  <c:v>1.6296318126168401</c:v>
                </c:pt>
                <c:pt idx="48">
                  <c:v>1.7490077129393999</c:v>
                </c:pt>
                <c:pt idx="49">
                  <c:v>1.7322377019756601</c:v>
                </c:pt>
                <c:pt idx="50">
                  <c:v>1.55030529493423</c:v>
                </c:pt>
                <c:pt idx="51">
                  <c:v>1.74623285340801</c:v>
                </c:pt>
                <c:pt idx="52">
                  <c:v>1.93547978820572</c:v>
                </c:pt>
                <c:pt idx="53">
                  <c:v>1.92086773415144</c:v>
                </c:pt>
                <c:pt idx="54">
                  <c:v>1.8211192307692301</c:v>
                </c:pt>
              </c:numCache>
            </c:numRef>
          </c:val>
          <c:smooth val="0"/>
          <c:extLst>
            <c:ext xmlns:c16="http://schemas.microsoft.com/office/drawing/2014/chart" uri="{C3380CC4-5D6E-409C-BE32-E72D297353CC}">
              <c16:uniqueId val="{00000002-D8CF-4C1D-99B1-7E6F51D79C5E}"/>
            </c:ext>
          </c:extLst>
        </c:ser>
        <c:ser>
          <c:idx val="3"/>
          <c:order val="3"/>
          <c:tx>
            <c:strRef>
              <c:f>Graphique_complement_1!$A$7</c:f>
              <c:strCache>
                <c:ptCount val="1"/>
                <c:pt idx="0">
                  <c:v>SP98</c:v>
                </c:pt>
              </c:strCache>
            </c:strRef>
          </c:tx>
          <c:spPr>
            <a:ln w="28575" cap="rnd">
              <a:solidFill>
                <a:schemeClr val="accent4"/>
              </a:solidFill>
              <a:round/>
            </a:ln>
            <a:effectLst/>
          </c:spPr>
          <c:marker>
            <c:symbol val="none"/>
          </c:marker>
          <c:cat>
            <c:numRef>
              <c:f>Graphique_complement_1!$B$3:$BD$3</c:f>
              <c:numCache>
                <c:formatCode>General</c:formatCode>
                <c:ptCount val="55"/>
                <c:pt idx="0">
                  <c:v>1970</c:v>
                </c:pt>
                <c:pt idx="5">
                  <c:v>1975</c:v>
                </c:pt>
                <c:pt idx="10">
                  <c:v>1980</c:v>
                </c:pt>
                <c:pt idx="15">
                  <c:v>1985</c:v>
                </c:pt>
                <c:pt idx="20">
                  <c:v>1990</c:v>
                </c:pt>
                <c:pt idx="25">
                  <c:v>1995</c:v>
                </c:pt>
                <c:pt idx="30">
                  <c:v>2000</c:v>
                </c:pt>
                <c:pt idx="35">
                  <c:v>2005</c:v>
                </c:pt>
                <c:pt idx="40">
                  <c:v>2010</c:v>
                </c:pt>
                <c:pt idx="45">
                  <c:v>2015</c:v>
                </c:pt>
                <c:pt idx="50">
                  <c:v>2020</c:v>
                </c:pt>
                <c:pt idx="54">
                  <c:v>2024</c:v>
                </c:pt>
              </c:numCache>
            </c:numRef>
          </c:cat>
          <c:val>
            <c:numRef>
              <c:f>Graphique_complement_1!$B$7:$BD$7</c:f>
              <c:numCache>
                <c:formatCode>General</c:formatCode>
                <c:ptCount val="55"/>
                <c:pt idx="20">
                  <c:v>1.4644126099055499</c:v>
                </c:pt>
                <c:pt idx="21">
                  <c:v>1.3618572626979399</c:v>
                </c:pt>
                <c:pt idx="22">
                  <c:v>1.3021450386853399</c:v>
                </c:pt>
                <c:pt idx="23">
                  <c:v>1.3138411911279799</c:v>
                </c:pt>
                <c:pt idx="24">
                  <c:v>1.3278677905929499</c:v>
                </c:pt>
                <c:pt idx="25">
                  <c:v>1.37343521292813</c:v>
                </c:pt>
                <c:pt idx="26">
                  <c:v>1.4307802035598001</c:v>
                </c:pt>
                <c:pt idx="27">
                  <c:v>1.46551073063068</c:v>
                </c:pt>
                <c:pt idx="28">
                  <c:v>1.4215472394784101</c:v>
                </c:pt>
                <c:pt idx="29">
                  <c:v>1.46894790757032</c:v>
                </c:pt>
                <c:pt idx="30">
                  <c:v>1.6635240026589799</c:v>
                </c:pt>
                <c:pt idx="31">
                  <c:v>1.55976831373508</c:v>
                </c:pt>
                <c:pt idx="32">
                  <c:v>1.4999231178121499</c:v>
                </c:pt>
                <c:pt idx="33">
                  <c:v>1.4698156331360901</c:v>
                </c:pt>
                <c:pt idx="34">
                  <c:v>1.50321327226218</c:v>
                </c:pt>
                <c:pt idx="35">
                  <c:v>1.6429558598057199</c:v>
                </c:pt>
                <c:pt idx="36">
                  <c:v>1.7092475858743299</c:v>
                </c:pt>
                <c:pt idx="37">
                  <c:v>1.7294362610090099</c:v>
                </c:pt>
                <c:pt idx="38">
                  <c:v>1.79050918150083</c:v>
                </c:pt>
                <c:pt idx="39">
                  <c:v>1.59659215488572</c:v>
                </c:pt>
                <c:pt idx="40">
                  <c:v>1.7485891023840401</c:v>
                </c:pt>
                <c:pt idx="41">
                  <c:v>1.9048156793108699</c:v>
                </c:pt>
                <c:pt idx="42">
                  <c:v>1.96641791894211</c:v>
                </c:pt>
                <c:pt idx="43">
                  <c:v>1.9206340330090199</c:v>
                </c:pt>
                <c:pt idx="44">
                  <c:v>1.8517246583248701</c:v>
                </c:pt>
                <c:pt idx="45">
                  <c:v>1.69540921961538</c:v>
                </c:pt>
                <c:pt idx="46">
                  <c:v>1.62950135981648</c:v>
                </c:pt>
                <c:pt idx="47">
                  <c:v>1.70820489808946</c:v>
                </c:pt>
                <c:pt idx="48">
                  <c:v>1.8265196309796501</c:v>
                </c:pt>
                <c:pt idx="49">
                  <c:v>1.8040179281027899</c:v>
                </c:pt>
                <c:pt idx="50">
                  <c:v>1.62321649846859</c:v>
                </c:pt>
                <c:pt idx="51">
                  <c:v>1.8147839485275199</c:v>
                </c:pt>
                <c:pt idx="52">
                  <c:v>1.99336430332457</c:v>
                </c:pt>
                <c:pt idx="53">
                  <c:v>1.97764278768393</c:v>
                </c:pt>
                <c:pt idx="54">
                  <c:v>1.8817173076923099</c:v>
                </c:pt>
              </c:numCache>
            </c:numRef>
          </c:val>
          <c:smooth val="0"/>
          <c:extLst>
            <c:ext xmlns:c16="http://schemas.microsoft.com/office/drawing/2014/chart" uri="{C3380CC4-5D6E-409C-BE32-E72D297353CC}">
              <c16:uniqueId val="{00000003-D8CF-4C1D-99B1-7E6F51D79C5E}"/>
            </c:ext>
          </c:extLst>
        </c:ser>
        <c:ser>
          <c:idx val="4"/>
          <c:order val="4"/>
          <c:tx>
            <c:strRef>
              <c:f>Graphique_complement_1!$A$8</c:f>
              <c:strCache>
                <c:ptCount val="1"/>
                <c:pt idx="0">
                  <c:v>SP95-E10</c:v>
                </c:pt>
              </c:strCache>
            </c:strRef>
          </c:tx>
          <c:spPr>
            <a:ln w="28575" cap="rnd">
              <a:solidFill>
                <a:schemeClr val="accent5"/>
              </a:solidFill>
              <a:round/>
            </a:ln>
            <a:effectLst/>
          </c:spPr>
          <c:marker>
            <c:symbol val="none"/>
          </c:marker>
          <c:cat>
            <c:numRef>
              <c:f>Graphique_complement_1!$B$3:$BD$3</c:f>
              <c:numCache>
                <c:formatCode>General</c:formatCode>
                <c:ptCount val="55"/>
                <c:pt idx="0">
                  <c:v>1970</c:v>
                </c:pt>
                <c:pt idx="5">
                  <c:v>1975</c:v>
                </c:pt>
                <c:pt idx="10">
                  <c:v>1980</c:v>
                </c:pt>
                <c:pt idx="15">
                  <c:v>1985</c:v>
                </c:pt>
                <c:pt idx="20">
                  <c:v>1990</c:v>
                </c:pt>
                <c:pt idx="25">
                  <c:v>1995</c:v>
                </c:pt>
                <c:pt idx="30">
                  <c:v>2000</c:v>
                </c:pt>
                <c:pt idx="35">
                  <c:v>2005</c:v>
                </c:pt>
                <c:pt idx="40">
                  <c:v>2010</c:v>
                </c:pt>
                <c:pt idx="45">
                  <c:v>2015</c:v>
                </c:pt>
                <c:pt idx="50">
                  <c:v>2020</c:v>
                </c:pt>
                <c:pt idx="54">
                  <c:v>2024</c:v>
                </c:pt>
              </c:numCache>
            </c:numRef>
          </c:cat>
          <c:val>
            <c:numRef>
              <c:f>Graphique_complement_1!$B$8:$BD$8</c:f>
              <c:numCache>
                <c:formatCode>General</c:formatCode>
                <c:ptCount val="55"/>
                <c:pt idx="43">
                  <c:v>1.82030523983356</c:v>
                </c:pt>
                <c:pt idx="44">
                  <c:v>1.7690872345091899</c:v>
                </c:pt>
                <c:pt idx="45">
                  <c:v>1.61228870307692</c:v>
                </c:pt>
                <c:pt idx="46">
                  <c:v>1.53257189624713</c:v>
                </c:pt>
                <c:pt idx="47">
                  <c:v>1.6031866555332599</c:v>
                </c:pt>
                <c:pt idx="48">
                  <c:v>1.72309210167367</c:v>
                </c:pt>
                <c:pt idx="49">
                  <c:v>1.7050253180097299</c:v>
                </c:pt>
                <c:pt idx="50">
                  <c:v>1.5314168950928799</c:v>
                </c:pt>
                <c:pt idx="51">
                  <c:v>1.7200212660740699</c:v>
                </c:pt>
                <c:pt idx="52">
                  <c:v>1.8883789331996499</c:v>
                </c:pt>
                <c:pt idx="53">
                  <c:v>1.89475364184636</c:v>
                </c:pt>
                <c:pt idx="54">
                  <c:v>1.78367115384615</c:v>
                </c:pt>
              </c:numCache>
            </c:numRef>
          </c:val>
          <c:smooth val="0"/>
          <c:extLst>
            <c:ext xmlns:c16="http://schemas.microsoft.com/office/drawing/2014/chart" uri="{C3380CC4-5D6E-409C-BE32-E72D297353CC}">
              <c16:uniqueId val="{00000004-D8CF-4C1D-99B1-7E6F51D79C5E}"/>
            </c:ext>
          </c:extLst>
        </c:ser>
        <c:ser>
          <c:idx val="5"/>
          <c:order val="5"/>
          <c:tx>
            <c:strRef>
              <c:f>Graphique_complement_1!$A$9</c:f>
              <c:strCache>
                <c:ptCount val="1"/>
                <c:pt idx="0">
                  <c:v>Superéthanol E85</c:v>
                </c:pt>
              </c:strCache>
            </c:strRef>
          </c:tx>
          <c:spPr>
            <a:ln w="28575" cap="rnd">
              <a:solidFill>
                <a:schemeClr val="accent6"/>
              </a:solidFill>
              <a:round/>
            </a:ln>
            <a:effectLst/>
          </c:spPr>
          <c:marker>
            <c:symbol val="none"/>
          </c:marker>
          <c:cat>
            <c:numRef>
              <c:f>Graphique_complement_1!$B$3:$BD$3</c:f>
              <c:numCache>
                <c:formatCode>General</c:formatCode>
                <c:ptCount val="55"/>
                <c:pt idx="0">
                  <c:v>1970</c:v>
                </c:pt>
                <c:pt idx="5">
                  <c:v>1975</c:v>
                </c:pt>
                <c:pt idx="10">
                  <c:v>1980</c:v>
                </c:pt>
                <c:pt idx="15">
                  <c:v>1985</c:v>
                </c:pt>
                <c:pt idx="20">
                  <c:v>1990</c:v>
                </c:pt>
                <c:pt idx="25">
                  <c:v>1995</c:v>
                </c:pt>
                <c:pt idx="30">
                  <c:v>2000</c:v>
                </c:pt>
                <c:pt idx="35">
                  <c:v>2005</c:v>
                </c:pt>
                <c:pt idx="40">
                  <c:v>2010</c:v>
                </c:pt>
                <c:pt idx="45">
                  <c:v>2015</c:v>
                </c:pt>
                <c:pt idx="50">
                  <c:v>2020</c:v>
                </c:pt>
                <c:pt idx="54">
                  <c:v>2024</c:v>
                </c:pt>
              </c:numCache>
            </c:numRef>
          </c:cat>
          <c:val>
            <c:numRef>
              <c:f>Graphique_complement_1!$B$9:$BD$9</c:f>
              <c:numCache>
                <c:formatCode>General</c:formatCode>
                <c:ptCount val="55"/>
                <c:pt idx="50">
                  <c:v>0.75280779146376398</c:v>
                </c:pt>
                <c:pt idx="51">
                  <c:v>0.76154196938947305</c:v>
                </c:pt>
                <c:pt idx="52">
                  <c:v>0.85338825070563695</c:v>
                </c:pt>
                <c:pt idx="53">
                  <c:v>1.07639962085246</c:v>
                </c:pt>
                <c:pt idx="54">
                  <c:v>0.83854615384615405</c:v>
                </c:pt>
              </c:numCache>
            </c:numRef>
          </c:val>
          <c:smooth val="0"/>
          <c:extLst>
            <c:ext xmlns:c16="http://schemas.microsoft.com/office/drawing/2014/chart" uri="{C3380CC4-5D6E-409C-BE32-E72D297353CC}">
              <c16:uniqueId val="{00000005-D8CF-4C1D-99B1-7E6F51D79C5E}"/>
            </c:ext>
          </c:extLst>
        </c:ser>
        <c:dLbls>
          <c:showLegendKey val="0"/>
          <c:showVal val="0"/>
          <c:showCatName val="0"/>
          <c:showSerName val="0"/>
          <c:showPercent val="0"/>
          <c:showBubbleSize val="0"/>
        </c:dLbls>
        <c:smooth val="0"/>
        <c:axId val="2117431984"/>
        <c:axId val="2117428240"/>
      </c:lineChart>
      <c:catAx>
        <c:axId val="211743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17428240"/>
        <c:crosses val="autoZero"/>
        <c:auto val="1"/>
        <c:lblAlgn val="ctr"/>
        <c:lblOffset val="100"/>
        <c:noMultiLvlLbl val="0"/>
      </c:catAx>
      <c:valAx>
        <c:axId val="211742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17431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Graphique_complement_2!$A$4</c:f>
              <c:strCache>
                <c:ptCount val="1"/>
                <c:pt idx="0">
                  <c:v>Prix du butane en bouteille</c:v>
                </c:pt>
              </c:strCache>
            </c:strRef>
          </c:tx>
          <c:spPr>
            <a:ln w="28575" cap="rnd">
              <a:solidFill>
                <a:schemeClr val="accent2"/>
              </a:solidFill>
              <a:round/>
            </a:ln>
            <a:effectLst/>
          </c:spPr>
          <c:marker>
            <c:symbol val="none"/>
          </c:marker>
          <c:cat>
            <c:numRef>
              <c:f>Graphique_complement_2!$B$3:$AJ$3</c:f>
              <c:numCache>
                <c:formatCode>General</c:formatCode>
                <c:ptCount val="35"/>
                <c:pt idx="0">
                  <c:v>1990</c:v>
                </c:pt>
                <c:pt idx="5">
                  <c:v>1995</c:v>
                </c:pt>
                <c:pt idx="10">
                  <c:v>2000</c:v>
                </c:pt>
                <c:pt idx="15">
                  <c:v>2005</c:v>
                </c:pt>
                <c:pt idx="20">
                  <c:v>2010</c:v>
                </c:pt>
                <c:pt idx="25">
                  <c:v>2015</c:v>
                </c:pt>
                <c:pt idx="30">
                  <c:v>2020</c:v>
                </c:pt>
                <c:pt idx="34">
                  <c:v>2024</c:v>
                </c:pt>
              </c:numCache>
            </c:numRef>
          </c:cat>
          <c:val>
            <c:numRef>
              <c:f>Graphique_complement_2!$B$4:$AJ$4</c:f>
              <c:numCache>
                <c:formatCode>General</c:formatCode>
                <c:ptCount val="35"/>
                <c:pt idx="0">
                  <c:v>167.17572426938099</c:v>
                </c:pt>
                <c:pt idx="1">
                  <c:v>143.638764131881</c:v>
                </c:pt>
                <c:pt idx="2">
                  <c:v>144.99348699652199</c:v>
                </c:pt>
                <c:pt idx="3">
                  <c:v>143.20358286016</c:v>
                </c:pt>
                <c:pt idx="4">
                  <c:v>141.17376892934999</c:v>
                </c:pt>
                <c:pt idx="5">
                  <c:v>140.482716115729</c:v>
                </c:pt>
                <c:pt idx="6">
                  <c:v>143.61627893729499</c:v>
                </c:pt>
                <c:pt idx="7">
                  <c:v>154.88312123383199</c:v>
                </c:pt>
                <c:pt idx="8">
                  <c:v>160.223559061755</c:v>
                </c:pt>
                <c:pt idx="9">
                  <c:v>162.001680892097</c:v>
                </c:pt>
                <c:pt idx="10">
                  <c:v>181.780953862762</c:v>
                </c:pt>
                <c:pt idx="11">
                  <c:v>197.43018054016599</c:v>
                </c:pt>
                <c:pt idx="12">
                  <c:v>195.725350959227</c:v>
                </c:pt>
                <c:pt idx="13">
                  <c:v>201.52353381496101</c:v>
                </c:pt>
                <c:pt idx="14">
                  <c:v>204.57530365928801</c:v>
                </c:pt>
                <c:pt idx="15">
                  <c:v>211.37034304302099</c:v>
                </c:pt>
                <c:pt idx="16">
                  <c:v>218.25565041066599</c:v>
                </c:pt>
                <c:pt idx="17">
                  <c:v>217.944736935017</c:v>
                </c:pt>
                <c:pt idx="18">
                  <c:v>223.776447782171</c:v>
                </c:pt>
                <c:pt idx="19">
                  <c:v>219.13627129183399</c:v>
                </c:pt>
                <c:pt idx="20">
                  <c:v>216.388820596427</c:v>
                </c:pt>
                <c:pt idx="21">
                  <c:v>227.27098123223001</c:v>
                </c:pt>
                <c:pt idx="22">
                  <c:v>234.43317639072399</c:v>
                </c:pt>
                <c:pt idx="23">
                  <c:v>240.53116871206601</c:v>
                </c:pt>
                <c:pt idx="24">
                  <c:v>237.65288105763599</c:v>
                </c:pt>
                <c:pt idx="25">
                  <c:v>236.744847490582</c:v>
                </c:pt>
                <c:pt idx="26">
                  <c:v>232.49810021145299</c:v>
                </c:pt>
                <c:pt idx="27">
                  <c:v>227.78365635684099</c:v>
                </c:pt>
                <c:pt idx="28">
                  <c:v>232.77369517656001</c:v>
                </c:pt>
                <c:pt idx="29">
                  <c:v>240.978676361054</c:v>
                </c:pt>
                <c:pt idx="30">
                  <c:v>242.47971723877899</c:v>
                </c:pt>
                <c:pt idx="31">
                  <c:v>240.70635754669601</c:v>
                </c:pt>
                <c:pt idx="32">
                  <c:v>250.65675394046099</c:v>
                </c:pt>
                <c:pt idx="33">
                  <c:v>255.781144722942</c:v>
                </c:pt>
                <c:pt idx="34">
                  <c:v>256.05581885202702</c:v>
                </c:pt>
              </c:numCache>
            </c:numRef>
          </c:val>
          <c:smooth val="0"/>
          <c:extLst>
            <c:ext xmlns:c16="http://schemas.microsoft.com/office/drawing/2014/chart" uri="{C3380CC4-5D6E-409C-BE32-E72D297353CC}">
              <c16:uniqueId val="{00000000-F369-468E-875D-ECAD4E145FDA}"/>
            </c:ext>
          </c:extLst>
        </c:ser>
        <c:ser>
          <c:idx val="2"/>
          <c:order val="1"/>
          <c:tx>
            <c:strRef>
              <c:f>Graphique_complement_2!$A$5</c:f>
              <c:strCache>
                <c:ptCount val="1"/>
                <c:pt idx="0">
                  <c:v>Prix du propane en citerne </c:v>
                </c:pt>
              </c:strCache>
            </c:strRef>
          </c:tx>
          <c:spPr>
            <a:ln w="28575" cap="rnd">
              <a:solidFill>
                <a:schemeClr val="accent3"/>
              </a:solidFill>
              <a:round/>
            </a:ln>
            <a:effectLst/>
          </c:spPr>
          <c:marker>
            <c:symbol val="none"/>
          </c:marker>
          <c:cat>
            <c:numRef>
              <c:f>Graphique_complement_2!$B$3:$AJ$3</c:f>
              <c:numCache>
                <c:formatCode>General</c:formatCode>
                <c:ptCount val="35"/>
                <c:pt idx="0">
                  <c:v>1990</c:v>
                </c:pt>
                <c:pt idx="5">
                  <c:v>1995</c:v>
                </c:pt>
                <c:pt idx="10">
                  <c:v>2000</c:v>
                </c:pt>
                <c:pt idx="15">
                  <c:v>2005</c:v>
                </c:pt>
                <c:pt idx="20">
                  <c:v>2010</c:v>
                </c:pt>
                <c:pt idx="25">
                  <c:v>2015</c:v>
                </c:pt>
                <c:pt idx="30">
                  <c:v>2020</c:v>
                </c:pt>
                <c:pt idx="34">
                  <c:v>2024</c:v>
                </c:pt>
              </c:numCache>
            </c:numRef>
          </c:cat>
          <c:val>
            <c:numRef>
              <c:f>Graphique_complement_2!$B$5:$AJ$5</c:f>
              <c:numCache>
                <c:formatCode>General</c:formatCode>
                <c:ptCount val="35"/>
                <c:pt idx="0">
                  <c:v>82.7656359273346</c:v>
                </c:pt>
                <c:pt idx="1">
                  <c:v>86.734169151242099</c:v>
                </c:pt>
                <c:pt idx="2">
                  <c:v>84.895807287545495</c:v>
                </c:pt>
                <c:pt idx="3">
                  <c:v>81.731388237725298</c:v>
                </c:pt>
                <c:pt idx="4">
                  <c:v>80.831767964575903</c:v>
                </c:pt>
                <c:pt idx="5">
                  <c:v>89.918942827022704</c:v>
                </c:pt>
                <c:pt idx="6">
                  <c:v>93.417025923990096</c:v>
                </c:pt>
                <c:pt idx="7">
                  <c:v>104.98529972024301</c:v>
                </c:pt>
                <c:pt idx="8">
                  <c:v>104.129192084019</c:v>
                </c:pt>
                <c:pt idx="9">
                  <c:v>98.189428699920796</c:v>
                </c:pt>
                <c:pt idx="10">
                  <c:v>109.888877355497</c:v>
                </c:pt>
                <c:pt idx="11">
                  <c:v>110.636626146727</c:v>
                </c:pt>
                <c:pt idx="12">
                  <c:v>107.614596636785</c:v>
                </c:pt>
                <c:pt idx="13">
                  <c:v>116.418123786704</c:v>
                </c:pt>
                <c:pt idx="14">
                  <c:v>117.23109410615901</c:v>
                </c:pt>
                <c:pt idx="15">
                  <c:v>131.41251316316601</c:v>
                </c:pt>
                <c:pt idx="16">
                  <c:v>143.47896229573399</c:v>
                </c:pt>
                <c:pt idx="17">
                  <c:v>143.67498941253999</c:v>
                </c:pt>
                <c:pt idx="18">
                  <c:v>157.77510346922199</c:v>
                </c:pt>
                <c:pt idx="19">
                  <c:v>137.224193962622</c:v>
                </c:pt>
                <c:pt idx="20">
                  <c:v>144.083859071321</c:v>
                </c:pt>
                <c:pt idx="21">
                  <c:v>161.927530462709</c:v>
                </c:pt>
                <c:pt idx="22">
                  <c:v>170.309215083152</c:v>
                </c:pt>
                <c:pt idx="23">
                  <c:v>159.89209357319999</c:v>
                </c:pt>
                <c:pt idx="24">
                  <c:v>160.36002892681699</c:v>
                </c:pt>
                <c:pt idx="25">
                  <c:v>150.516533364298</c:v>
                </c:pt>
                <c:pt idx="26">
                  <c:v>142.683608994606</c:v>
                </c:pt>
                <c:pt idx="27">
                  <c:v>155.79787776854999</c:v>
                </c:pt>
                <c:pt idx="28">
                  <c:v>166.26112725943699</c:v>
                </c:pt>
                <c:pt idx="29">
                  <c:v>171.11486626445799</c:v>
                </c:pt>
                <c:pt idx="30">
                  <c:v>167.12261234865699</c:v>
                </c:pt>
                <c:pt idx="31">
                  <c:v>167.387419602287</c:v>
                </c:pt>
                <c:pt idx="32">
                  <c:v>167.614025283415</c:v>
                </c:pt>
                <c:pt idx="33">
                  <c:v>169.48449612251801</c:v>
                </c:pt>
                <c:pt idx="34">
                  <c:v>170.51573617404199</c:v>
                </c:pt>
              </c:numCache>
            </c:numRef>
          </c:val>
          <c:smooth val="0"/>
          <c:extLst>
            <c:ext xmlns:c16="http://schemas.microsoft.com/office/drawing/2014/chart" uri="{C3380CC4-5D6E-409C-BE32-E72D297353CC}">
              <c16:uniqueId val="{00000001-F369-468E-875D-ECAD4E145FDA}"/>
            </c:ext>
          </c:extLst>
        </c:ser>
        <c:ser>
          <c:idx val="3"/>
          <c:order val="2"/>
          <c:tx>
            <c:strRef>
              <c:f>Graphique_complement_2!$A$6</c:f>
              <c:strCache>
                <c:ptCount val="1"/>
                <c:pt idx="0">
                  <c:v>Prix du fioul domestique</c:v>
                </c:pt>
              </c:strCache>
            </c:strRef>
          </c:tx>
          <c:spPr>
            <a:ln w="28575" cap="rnd">
              <a:solidFill>
                <a:schemeClr val="accent4"/>
              </a:solidFill>
              <a:round/>
            </a:ln>
            <a:effectLst/>
          </c:spPr>
          <c:marker>
            <c:symbol val="none"/>
          </c:marker>
          <c:cat>
            <c:numRef>
              <c:f>Graphique_complement_2!$B$3:$AJ$3</c:f>
              <c:numCache>
                <c:formatCode>General</c:formatCode>
                <c:ptCount val="35"/>
                <c:pt idx="0">
                  <c:v>1990</c:v>
                </c:pt>
                <c:pt idx="5">
                  <c:v>1995</c:v>
                </c:pt>
                <c:pt idx="10">
                  <c:v>2000</c:v>
                </c:pt>
                <c:pt idx="15">
                  <c:v>2005</c:v>
                </c:pt>
                <c:pt idx="20">
                  <c:v>2010</c:v>
                </c:pt>
                <c:pt idx="25">
                  <c:v>2015</c:v>
                </c:pt>
                <c:pt idx="30">
                  <c:v>2020</c:v>
                </c:pt>
                <c:pt idx="34">
                  <c:v>2024</c:v>
                </c:pt>
              </c:numCache>
            </c:numRef>
          </c:cat>
          <c:val>
            <c:numRef>
              <c:f>Graphique_complement_2!$B$6:$AJ$6</c:f>
              <c:numCache>
                <c:formatCode>General</c:formatCode>
                <c:ptCount val="35"/>
                <c:pt idx="0">
                  <c:v>60.600422414594597</c:v>
                </c:pt>
                <c:pt idx="1">
                  <c:v>60.412810761786403</c:v>
                </c:pt>
                <c:pt idx="2">
                  <c:v>52.678720594109798</c:v>
                </c:pt>
                <c:pt idx="3">
                  <c:v>52.712253744084698</c:v>
                </c:pt>
                <c:pt idx="4">
                  <c:v>50.504323148299598</c:v>
                </c:pt>
                <c:pt idx="5">
                  <c:v>48.625391882167598</c:v>
                </c:pt>
                <c:pt idx="6">
                  <c:v>52.330036081032702</c:v>
                </c:pt>
                <c:pt idx="7">
                  <c:v>54.336624786770003</c:v>
                </c:pt>
                <c:pt idx="8">
                  <c:v>46.273571792563502</c:v>
                </c:pt>
                <c:pt idx="9">
                  <c:v>50.228924885627201</c:v>
                </c:pt>
                <c:pt idx="10">
                  <c:v>69.609085711462996</c:v>
                </c:pt>
                <c:pt idx="11">
                  <c:v>58.224926438254002</c:v>
                </c:pt>
                <c:pt idx="12">
                  <c:v>53.110140365811702</c:v>
                </c:pt>
                <c:pt idx="13">
                  <c:v>55.405768353166799</c:v>
                </c:pt>
                <c:pt idx="14">
                  <c:v>62.6552861537604</c:v>
                </c:pt>
                <c:pt idx="15">
                  <c:v>80.305560712571904</c:v>
                </c:pt>
                <c:pt idx="16">
                  <c:v>87.269843864362002</c:v>
                </c:pt>
                <c:pt idx="17">
                  <c:v>86.287812291443601</c:v>
                </c:pt>
                <c:pt idx="18">
                  <c:v>107.41360909475701</c:v>
                </c:pt>
                <c:pt idx="19">
                  <c:v>74.139093346545394</c:v>
                </c:pt>
                <c:pt idx="20">
                  <c:v>90.8428221463451</c:v>
                </c:pt>
                <c:pt idx="21">
                  <c:v>110.32354828980201</c:v>
                </c:pt>
                <c:pt idx="22">
                  <c:v>118.07763378988599</c:v>
                </c:pt>
                <c:pt idx="23">
                  <c:v>112.029108416325</c:v>
                </c:pt>
                <c:pt idx="24">
                  <c:v>103.375620169301</c:v>
                </c:pt>
                <c:pt idx="25">
                  <c:v>84.820003317312498</c:v>
                </c:pt>
                <c:pt idx="26">
                  <c:v>76.485382381863204</c:v>
                </c:pt>
                <c:pt idx="27">
                  <c:v>87.992692235964498</c:v>
                </c:pt>
                <c:pt idx="28">
                  <c:v>106.25732072662601</c:v>
                </c:pt>
                <c:pt idx="29">
                  <c:v>107.30987766870101</c:v>
                </c:pt>
                <c:pt idx="30">
                  <c:v>87.597204998963406</c:v>
                </c:pt>
                <c:pt idx="31">
                  <c:v>102.124844520284</c:v>
                </c:pt>
                <c:pt idx="32">
                  <c:v>159.006018527122</c:v>
                </c:pt>
                <c:pt idx="33">
                  <c:v>129.37602104954101</c:v>
                </c:pt>
                <c:pt idx="34">
                  <c:v>120.39163574365701</c:v>
                </c:pt>
              </c:numCache>
            </c:numRef>
          </c:val>
          <c:smooth val="0"/>
          <c:extLst>
            <c:ext xmlns:c16="http://schemas.microsoft.com/office/drawing/2014/chart" uri="{C3380CC4-5D6E-409C-BE32-E72D297353CC}">
              <c16:uniqueId val="{00000002-F369-468E-875D-ECAD4E145FDA}"/>
            </c:ext>
          </c:extLst>
        </c:ser>
        <c:dLbls>
          <c:showLegendKey val="0"/>
          <c:showVal val="0"/>
          <c:showCatName val="0"/>
          <c:showSerName val="0"/>
          <c:showPercent val="0"/>
          <c:showBubbleSize val="0"/>
        </c:dLbls>
        <c:smooth val="0"/>
        <c:axId val="855565584"/>
        <c:axId val="855565168"/>
      </c:lineChart>
      <c:catAx>
        <c:axId val="855565584"/>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55565168"/>
        <c:crosses val="autoZero"/>
        <c:auto val="1"/>
        <c:lblAlgn val="ctr"/>
        <c:lblOffset val="100"/>
        <c:tickMarkSkip val="1"/>
        <c:noMultiLvlLbl val="0"/>
      </c:catAx>
      <c:valAx>
        <c:axId val="85556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555655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66675</xdr:colOff>
      <xdr:row>1</xdr:row>
      <xdr:rowOff>180975</xdr:rowOff>
    </xdr:from>
    <xdr:to>
      <xdr:col>15</xdr:col>
      <xdr:colOff>28575</xdr:colOff>
      <xdr:row>25</xdr:row>
      <xdr:rowOff>171450</xdr:rowOff>
    </xdr:to>
    <xdr:graphicFrame macro="">
      <xdr:nvGraphicFramePr>
        <xdr:cNvPr id="4" name="Graphique 3">
          <a:extLst>
            <a:ext uri="{FF2B5EF4-FFF2-40B4-BE49-F238E27FC236}">
              <a16:creationId xmlns:a16="http://schemas.microsoft.com/office/drawing/2014/main" id="{2A61E950-AC00-437A-B783-7CB2D80F9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11430</xdr:colOff>
      <xdr:row>8</xdr:row>
      <xdr:rowOff>66675</xdr:rowOff>
    </xdr:from>
    <xdr:to>
      <xdr:col>15</xdr:col>
      <xdr:colOff>314325</xdr:colOff>
      <xdr:row>34</xdr:row>
      <xdr:rowOff>28574</xdr:rowOff>
    </xdr:to>
    <xdr:graphicFrame macro="">
      <xdr:nvGraphicFramePr>
        <xdr:cNvPr id="2" name="Graphique 1">
          <a:extLst>
            <a:ext uri="{FF2B5EF4-FFF2-40B4-BE49-F238E27FC236}">
              <a16:creationId xmlns:a16="http://schemas.microsoft.com/office/drawing/2014/main" id="{04A2BBDA-FBCB-4DD1-93AF-89F37030D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752475</xdr:colOff>
      <xdr:row>9</xdr:row>
      <xdr:rowOff>176212</xdr:rowOff>
    </xdr:from>
    <xdr:to>
      <xdr:col>16</xdr:col>
      <xdr:colOff>38100</xdr:colOff>
      <xdr:row>29</xdr:row>
      <xdr:rowOff>66676</xdr:rowOff>
    </xdr:to>
    <xdr:graphicFrame macro="">
      <xdr:nvGraphicFramePr>
        <xdr:cNvPr id="2" name="Graphique 1">
          <a:extLst>
            <a:ext uri="{FF2B5EF4-FFF2-40B4-BE49-F238E27FC236}">
              <a16:creationId xmlns:a16="http://schemas.microsoft.com/office/drawing/2014/main" id="{51AEC177-21D2-4756-84E5-D8F52E0CF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757237</xdr:colOff>
      <xdr:row>9</xdr:row>
      <xdr:rowOff>42862</xdr:rowOff>
    </xdr:from>
    <xdr:to>
      <xdr:col>8</xdr:col>
      <xdr:colOff>123825</xdr:colOff>
      <xdr:row>22</xdr:row>
      <xdr:rowOff>171450</xdr:rowOff>
    </xdr:to>
    <xdr:graphicFrame macro="">
      <xdr:nvGraphicFramePr>
        <xdr:cNvPr id="2" name="Graphique 1">
          <a:extLst>
            <a:ext uri="{FF2B5EF4-FFF2-40B4-BE49-F238E27FC236}">
              <a16:creationId xmlns:a16="http://schemas.microsoft.com/office/drawing/2014/main" id="{994A9703-15AF-4BE5-9A0E-F77E71E24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12</xdr:row>
      <xdr:rowOff>185737</xdr:rowOff>
    </xdr:from>
    <xdr:to>
      <xdr:col>9</xdr:col>
      <xdr:colOff>752475</xdr:colOff>
      <xdr:row>34</xdr:row>
      <xdr:rowOff>28575</xdr:rowOff>
    </xdr:to>
    <xdr:graphicFrame macro="">
      <xdr:nvGraphicFramePr>
        <xdr:cNvPr id="3" name="Graphique 2">
          <a:extLst>
            <a:ext uri="{FF2B5EF4-FFF2-40B4-BE49-F238E27FC236}">
              <a16:creationId xmlns:a16="http://schemas.microsoft.com/office/drawing/2014/main" id="{8F94BD0B-5678-4F9D-89D5-719D59EFE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901067</xdr:colOff>
      <xdr:row>9</xdr:row>
      <xdr:rowOff>137159</xdr:rowOff>
    </xdr:from>
    <xdr:to>
      <xdr:col>6</xdr:col>
      <xdr:colOff>561975</xdr:colOff>
      <xdr:row>29</xdr:row>
      <xdr:rowOff>123825</xdr:rowOff>
    </xdr:to>
    <xdr:graphicFrame macro="">
      <xdr:nvGraphicFramePr>
        <xdr:cNvPr id="2" name="Graphique 1">
          <a:extLst>
            <a:ext uri="{FF2B5EF4-FFF2-40B4-BE49-F238E27FC236}">
              <a16:creationId xmlns:a16="http://schemas.microsoft.com/office/drawing/2014/main" id="{F732A907-6CF1-403D-A9FC-7D60338F3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6"/>
  <sheetViews>
    <sheetView showGridLines="0" tabSelected="1" zoomScaleNormal="100" workbookViewId="0">
      <selection activeCell="B1" sqref="B1"/>
    </sheetView>
  </sheetViews>
  <sheetFormatPr baseColWidth="10" defaultRowHeight="12.75"/>
  <cols>
    <col min="1" max="3" width="11.42578125" style="20"/>
    <col min="4" max="4" width="11.42578125" style="21"/>
    <col min="5" max="5" width="11.5703125" style="21"/>
    <col min="6" max="16384" width="11.42578125" style="20"/>
  </cols>
  <sheetData>
    <row r="1" spans="1:23">
      <c r="A1" s="5" t="s">
        <v>40</v>
      </c>
      <c r="B1" s="5"/>
    </row>
    <row r="2" spans="1:23">
      <c r="A2" s="5"/>
      <c r="B2" s="5"/>
    </row>
    <row r="3" spans="1:23">
      <c r="A3" s="22"/>
      <c r="B3" s="22" t="s">
        <v>12</v>
      </c>
      <c r="C3" s="6" t="s">
        <v>13</v>
      </c>
      <c r="D3" s="21" t="s">
        <v>59</v>
      </c>
      <c r="F3" s="22"/>
      <c r="G3" s="22"/>
    </row>
    <row r="4" spans="1:23">
      <c r="A4" s="23"/>
      <c r="B4" s="24" t="s">
        <v>9</v>
      </c>
      <c r="C4" s="20" t="s">
        <v>10</v>
      </c>
      <c r="D4" s="24" t="s">
        <v>9</v>
      </c>
      <c r="E4" s="24"/>
    </row>
    <row r="5" spans="1:23">
      <c r="A5" s="23">
        <v>42005</v>
      </c>
      <c r="B5" s="25">
        <v>47.708095238095197</v>
      </c>
      <c r="C5" s="20">
        <v>41.052170064905347</v>
      </c>
      <c r="D5" s="25">
        <f>AVERAGE(B5:B16)</f>
        <v>52.356359246269157</v>
      </c>
      <c r="E5" s="25"/>
      <c r="F5" s="26"/>
      <c r="T5" s="26"/>
      <c r="U5" s="26"/>
      <c r="V5" s="26"/>
      <c r="W5" s="26"/>
    </row>
    <row r="6" spans="1:23">
      <c r="A6" s="23">
        <v>42036</v>
      </c>
      <c r="B6" s="25">
        <v>58.095500000000001</v>
      </c>
      <c r="C6" s="20">
        <v>51.187041010075198</v>
      </c>
      <c r="D6" s="20">
        <f>D5</f>
        <v>52.356359246269157</v>
      </c>
      <c r="E6" s="20"/>
      <c r="F6" s="26"/>
      <c r="T6" s="26"/>
      <c r="U6" s="26"/>
      <c r="V6" s="26"/>
      <c r="W6" s="26"/>
    </row>
    <row r="7" spans="1:23">
      <c r="A7" s="23">
        <v>42064</v>
      </c>
      <c r="B7" s="25">
        <v>55.8854545454545</v>
      </c>
      <c r="C7" s="20">
        <v>51.565874956486049</v>
      </c>
      <c r="D7" s="20">
        <f t="shared" ref="D7:D16" si="0">D6</f>
        <v>52.356359246269157</v>
      </c>
      <c r="E7" s="20"/>
      <c r="F7" s="26"/>
      <c r="T7" s="26"/>
      <c r="U7" s="26"/>
      <c r="V7" s="26"/>
      <c r="W7" s="26"/>
    </row>
    <row r="8" spans="1:23">
      <c r="A8" s="23">
        <v>42095</v>
      </c>
      <c r="B8" s="25">
        <v>59.606000000000002</v>
      </c>
      <c r="C8" s="20">
        <v>55.29672613249469</v>
      </c>
      <c r="D8" s="20">
        <f t="shared" si="0"/>
        <v>52.356359246269157</v>
      </c>
      <c r="E8" s="20"/>
      <c r="F8" s="26"/>
      <c r="T8" s="26"/>
      <c r="U8" s="26"/>
      <c r="V8" s="26"/>
      <c r="W8" s="26"/>
    </row>
    <row r="9" spans="1:23">
      <c r="A9" s="23">
        <v>42125</v>
      </c>
      <c r="B9" s="25">
        <v>64.036842105263204</v>
      </c>
      <c r="C9" s="20">
        <v>57.434463368712827</v>
      </c>
      <c r="D9" s="20">
        <f t="shared" si="0"/>
        <v>52.356359246269157</v>
      </c>
      <c r="E9" s="20"/>
      <c r="F9" s="26"/>
      <c r="T9" s="26"/>
      <c r="U9" s="26"/>
      <c r="V9" s="26"/>
      <c r="W9" s="26"/>
    </row>
    <row r="10" spans="1:23">
      <c r="A10" s="23">
        <v>42156</v>
      </c>
      <c r="B10" s="25">
        <v>61.470909090909103</v>
      </c>
      <c r="C10" s="20">
        <v>54.819997486734295</v>
      </c>
      <c r="D10" s="20">
        <f t="shared" si="0"/>
        <v>52.356359246269157</v>
      </c>
      <c r="E10" s="20"/>
      <c r="F10" s="26"/>
      <c r="T10" s="26"/>
      <c r="U10" s="26"/>
      <c r="V10" s="26"/>
      <c r="W10" s="26"/>
    </row>
    <row r="11" spans="1:23">
      <c r="A11" s="23">
        <v>42186</v>
      </c>
      <c r="B11" s="25">
        <v>56.561304347826102</v>
      </c>
      <c r="C11" s="20">
        <v>51.439089295105035</v>
      </c>
      <c r="D11" s="20">
        <f t="shared" si="0"/>
        <v>52.356359246269157</v>
      </c>
      <c r="E11" s="20"/>
      <c r="F11" s="26"/>
      <c r="T11" s="26"/>
      <c r="U11" s="26"/>
      <c r="V11" s="26"/>
      <c r="W11" s="26"/>
    </row>
    <row r="12" spans="1:23">
      <c r="A12" s="23">
        <v>42217</v>
      </c>
      <c r="B12" s="25">
        <v>46.515000000000001</v>
      </c>
      <c r="C12" s="20">
        <v>41.758507181942619</v>
      </c>
      <c r="D12" s="20">
        <f t="shared" si="0"/>
        <v>52.356359246269157</v>
      </c>
      <c r="E12" s="20"/>
      <c r="F12" s="26"/>
      <c r="T12" s="26"/>
      <c r="U12" s="26"/>
      <c r="V12" s="26"/>
      <c r="W12" s="26"/>
    </row>
    <row r="13" spans="1:23">
      <c r="A13" s="23">
        <v>42248</v>
      </c>
      <c r="B13" s="25">
        <v>47.623181818181799</v>
      </c>
      <c r="C13" s="20">
        <v>42.440433271491464</v>
      </c>
      <c r="D13" s="20">
        <f t="shared" si="0"/>
        <v>52.356359246269157</v>
      </c>
      <c r="E13" s="20"/>
      <c r="F13" s="26"/>
      <c r="T13" s="26"/>
      <c r="U13" s="26"/>
      <c r="V13" s="26"/>
      <c r="W13" s="26"/>
    </row>
    <row r="14" spans="1:23">
      <c r="A14" s="23">
        <v>42278</v>
      </c>
      <c r="B14" s="25">
        <v>48.43</v>
      </c>
      <c r="C14" s="20">
        <v>43.106015244793952</v>
      </c>
      <c r="D14" s="20">
        <f t="shared" si="0"/>
        <v>52.356359246269157</v>
      </c>
      <c r="E14" s="20"/>
      <c r="F14" s="26"/>
      <c r="T14" s="26"/>
      <c r="U14" s="26"/>
      <c r="V14" s="26"/>
      <c r="W14" s="26"/>
    </row>
    <row r="15" spans="1:23">
      <c r="A15" s="23">
        <v>42309</v>
      </c>
      <c r="B15" s="25">
        <v>44.294499999999999</v>
      </c>
      <c r="C15" s="20">
        <v>41.227772167332944</v>
      </c>
      <c r="D15" s="20">
        <f t="shared" si="0"/>
        <v>52.356359246269157</v>
      </c>
      <c r="E15" s="20"/>
      <c r="F15" s="26"/>
      <c r="T15" s="26"/>
      <c r="U15" s="26"/>
      <c r="V15" s="26"/>
      <c r="W15" s="26"/>
    </row>
    <row r="16" spans="1:23">
      <c r="A16" s="23">
        <v>42339</v>
      </c>
      <c r="B16" s="25">
        <v>38.049523809500002</v>
      </c>
      <c r="C16" s="20">
        <v>34.981049729750879</v>
      </c>
      <c r="D16" s="20">
        <f t="shared" si="0"/>
        <v>52.356359246269157</v>
      </c>
      <c r="E16" s="20"/>
      <c r="F16" s="26"/>
      <c r="T16" s="26"/>
      <c r="U16" s="26"/>
      <c r="V16" s="26"/>
      <c r="W16" s="26"/>
    </row>
    <row r="17" spans="1:23">
      <c r="A17" s="23">
        <v>42370</v>
      </c>
      <c r="B17" s="25">
        <v>30.6905</v>
      </c>
      <c r="C17" s="20">
        <v>28.261039720432976</v>
      </c>
      <c r="D17" s="25">
        <f t="shared" ref="D17" si="1">AVERAGE(B17:B28)</f>
        <v>43.541339285716276</v>
      </c>
      <c r="E17" s="25"/>
      <c r="F17" s="26"/>
      <c r="H17" s="26"/>
      <c r="I17" s="26"/>
      <c r="T17" s="26"/>
      <c r="U17" s="26"/>
      <c r="V17" s="26"/>
      <c r="W17" s="26"/>
    </row>
    <row r="18" spans="1:23">
      <c r="A18" s="23">
        <v>42401</v>
      </c>
      <c r="B18" s="25">
        <v>32.200476190499998</v>
      </c>
      <c r="C18" s="20">
        <v>29.027868401971098</v>
      </c>
      <c r="D18" s="20">
        <f>D17</f>
        <v>43.541339285716276</v>
      </c>
      <c r="E18" s="20"/>
      <c r="F18" s="26"/>
      <c r="H18" s="26"/>
      <c r="I18" s="26"/>
      <c r="T18" s="26"/>
      <c r="U18" s="26"/>
      <c r="V18" s="26"/>
      <c r="W18" s="26"/>
    </row>
    <row r="19" spans="1:23">
      <c r="A19" s="23">
        <v>42430</v>
      </c>
      <c r="B19" s="25">
        <v>38.320476190476192</v>
      </c>
      <c r="C19" s="20">
        <v>34.52398827935631</v>
      </c>
      <c r="D19" s="20">
        <f t="shared" ref="D19:D28" si="2">D18</f>
        <v>43.541339285716276</v>
      </c>
      <c r="E19" s="20"/>
      <c r="F19" s="26"/>
      <c r="H19" s="26"/>
      <c r="I19" s="26"/>
      <c r="T19" s="26"/>
      <c r="U19" s="26"/>
      <c r="V19" s="26"/>
      <c r="W19" s="26"/>
    </row>
    <row r="20" spans="1:23">
      <c r="A20" s="23">
        <v>42461</v>
      </c>
      <c r="B20" s="25">
        <v>41.583333333333336</v>
      </c>
      <c r="C20" s="20">
        <v>36.672224018679422</v>
      </c>
      <c r="D20" s="20">
        <f t="shared" si="2"/>
        <v>43.541339285716276</v>
      </c>
      <c r="E20" s="20"/>
      <c r="F20" s="26"/>
      <c r="H20" s="26"/>
      <c r="I20" s="26"/>
      <c r="T20" s="26"/>
      <c r="U20" s="26"/>
      <c r="V20" s="26"/>
      <c r="W20" s="26"/>
    </row>
    <row r="21" spans="1:23">
      <c r="A21" s="23">
        <v>42491</v>
      </c>
      <c r="B21" s="25">
        <v>46.788499999999992</v>
      </c>
      <c r="C21" s="20">
        <v>41.365152464998133</v>
      </c>
      <c r="D21" s="20">
        <f t="shared" si="2"/>
        <v>43.541339285716276</v>
      </c>
      <c r="E21" s="20"/>
      <c r="F21" s="26"/>
      <c r="H21" s="26"/>
      <c r="I21" s="26"/>
      <c r="T21" s="26"/>
      <c r="U21" s="26"/>
      <c r="V21" s="26"/>
      <c r="W21" s="26"/>
    </row>
    <row r="22" spans="1:23">
      <c r="A22" s="23">
        <v>42522</v>
      </c>
      <c r="B22" s="25">
        <v>48.25</v>
      </c>
      <c r="C22" s="20">
        <v>42.969480536829074</v>
      </c>
      <c r="D22" s="20">
        <f t="shared" si="2"/>
        <v>43.541339285716276</v>
      </c>
      <c r="E22" s="20"/>
      <c r="F22" s="26"/>
      <c r="H22" s="26"/>
      <c r="I22" s="26"/>
      <c r="T22" s="26"/>
      <c r="U22" s="26"/>
      <c r="V22" s="26"/>
      <c r="W22" s="26"/>
    </row>
    <row r="23" spans="1:23">
      <c r="A23" s="23">
        <v>42552</v>
      </c>
      <c r="B23" s="25">
        <v>44.951904761904771</v>
      </c>
      <c r="C23" s="20">
        <v>40.612375720081396</v>
      </c>
      <c r="D23" s="20">
        <f t="shared" si="2"/>
        <v>43.541339285716276</v>
      </c>
      <c r="E23" s="20"/>
      <c r="F23" s="26"/>
      <c r="H23" s="26"/>
      <c r="I23" s="26"/>
      <c r="T23" s="26"/>
      <c r="U23" s="26"/>
      <c r="V23" s="26"/>
      <c r="W23" s="26"/>
    </row>
    <row r="24" spans="1:23">
      <c r="A24" s="23">
        <v>42583</v>
      </c>
      <c r="B24" s="25">
        <v>45.578181818181811</v>
      </c>
      <c r="C24" s="20">
        <v>40.652196138293768</v>
      </c>
      <c r="D24" s="20">
        <f t="shared" si="2"/>
        <v>43.541339285716276</v>
      </c>
      <c r="E24" s="20"/>
      <c r="F24" s="26"/>
      <c r="H24" s="26"/>
      <c r="I24" s="26"/>
      <c r="T24" s="26"/>
      <c r="U24" s="26"/>
      <c r="V24" s="26"/>
      <c r="W24" s="26"/>
    </row>
    <row r="25" spans="1:23">
      <c r="A25" s="23">
        <v>42614</v>
      </c>
      <c r="B25" s="25">
        <v>46.567727272727275</v>
      </c>
      <c r="C25" s="20">
        <v>41.533490631055763</v>
      </c>
      <c r="D25" s="20">
        <f t="shared" si="2"/>
        <v>43.541339285716276</v>
      </c>
      <c r="E25" s="20"/>
      <c r="F25" s="26"/>
      <c r="H25" s="26"/>
      <c r="I25" s="26"/>
      <c r="T25" s="26"/>
      <c r="U25" s="26"/>
      <c r="V25" s="26"/>
      <c r="W25" s="26"/>
    </row>
    <row r="26" spans="1:23">
      <c r="A26" s="23">
        <v>42644</v>
      </c>
      <c r="B26" s="25">
        <v>49.522380952380956</v>
      </c>
      <c r="C26" s="20">
        <v>44.91399154383344</v>
      </c>
      <c r="D26" s="20">
        <f t="shared" si="2"/>
        <v>43.541339285716276</v>
      </c>
      <c r="E26" s="20"/>
      <c r="F26" s="26"/>
      <c r="H26" s="26"/>
      <c r="I26" s="26"/>
      <c r="T26" s="26"/>
      <c r="U26" s="26"/>
      <c r="V26" s="26"/>
      <c r="W26" s="26"/>
    </row>
    <row r="27" spans="1:23">
      <c r="A27" s="23">
        <v>42675</v>
      </c>
      <c r="B27" s="25">
        <v>44.734090909090916</v>
      </c>
      <c r="C27" s="20">
        <v>41.424464489407647</v>
      </c>
      <c r="D27" s="20">
        <f t="shared" si="2"/>
        <v>43.541339285716276</v>
      </c>
      <c r="E27" s="20"/>
      <c r="F27" s="26"/>
      <c r="H27" s="26"/>
      <c r="I27" s="26"/>
      <c r="T27" s="26"/>
      <c r="U27" s="26"/>
      <c r="V27" s="26"/>
      <c r="W27" s="26"/>
    </row>
    <row r="28" spans="1:23">
      <c r="A28" s="23">
        <v>42705</v>
      </c>
      <c r="B28" s="25">
        <v>53.308499999999995</v>
      </c>
      <c r="C28" s="20">
        <v>50.563389505919112</v>
      </c>
      <c r="D28" s="20">
        <f t="shared" si="2"/>
        <v>43.541339285716276</v>
      </c>
      <c r="E28" s="20"/>
      <c r="F28" s="27" t="s">
        <v>75</v>
      </c>
      <c r="H28" s="26"/>
      <c r="I28" s="26"/>
      <c r="T28" s="26"/>
      <c r="U28" s="26"/>
      <c r="V28" s="26"/>
      <c r="W28" s="26"/>
    </row>
    <row r="29" spans="1:23">
      <c r="A29" s="23">
        <v>42736</v>
      </c>
      <c r="B29" s="25">
        <v>54.576666666666661</v>
      </c>
      <c r="C29" s="20">
        <v>51.417527060842097</v>
      </c>
      <c r="D29" s="25">
        <f t="shared" ref="D29" si="3">AVERAGE(B29:B40)</f>
        <v>54.252408558864225</v>
      </c>
      <c r="E29" s="25"/>
      <c r="F29" s="28" t="s">
        <v>76</v>
      </c>
      <c r="H29" s="26"/>
      <c r="I29" s="26"/>
      <c r="T29" s="26"/>
      <c r="U29" s="26"/>
      <c r="V29" s="26"/>
      <c r="W29" s="26"/>
    </row>
    <row r="30" spans="1:23">
      <c r="A30" s="23">
        <v>42767</v>
      </c>
      <c r="B30" s="25">
        <v>54.869500000000002</v>
      </c>
      <c r="C30" s="20">
        <v>51.55623834289392</v>
      </c>
      <c r="D30" s="20">
        <f>D29</f>
        <v>54.252408558864225</v>
      </c>
      <c r="E30" s="20"/>
      <c r="F30" s="26"/>
      <c r="H30" s="26"/>
      <c r="I30" s="26"/>
      <c r="T30" s="26"/>
      <c r="U30" s="26"/>
      <c r="V30" s="26"/>
      <c r="W30" s="26"/>
    </row>
    <row r="31" spans="1:23">
      <c r="A31" s="23">
        <v>42795</v>
      </c>
      <c r="B31" s="25">
        <v>51.589130434782604</v>
      </c>
      <c r="C31" s="20">
        <v>48.283200677116398</v>
      </c>
      <c r="D31" s="20">
        <f t="shared" ref="D31:D40" si="4">D30</f>
        <v>54.252408558864225</v>
      </c>
      <c r="E31" s="20"/>
      <c r="F31" s="26"/>
      <c r="H31" s="26"/>
      <c r="I31" s="26"/>
      <c r="T31" s="26"/>
      <c r="U31" s="26"/>
      <c r="V31" s="26"/>
      <c r="W31" s="26"/>
    </row>
    <row r="32" spans="1:23">
      <c r="A32" s="23">
        <v>42826</v>
      </c>
      <c r="B32" s="25">
        <v>52.357894736842105</v>
      </c>
      <c r="C32" s="20">
        <v>48.829173156716706</v>
      </c>
      <c r="D32" s="20">
        <f t="shared" si="4"/>
        <v>54.252408558864225</v>
      </c>
      <c r="E32" s="20"/>
      <c r="F32" s="26"/>
      <c r="H32" s="26"/>
      <c r="I32" s="26"/>
      <c r="T32" s="26"/>
      <c r="U32" s="26"/>
      <c r="V32" s="26"/>
      <c r="W32" s="26"/>
    </row>
    <row r="33" spans="1:23">
      <c r="A33" s="23">
        <v>42856</v>
      </c>
      <c r="B33" s="25">
        <v>50.322727272727278</v>
      </c>
      <c r="C33" s="20">
        <v>45.510040490822767</v>
      </c>
      <c r="D33" s="20">
        <f t="shared" si="4"/>
        <v>54.252408558864225</v>
      </c>
      <c r="E33" s="20"/>
      <c r="F33" s="26"/>
      <c r="H33" s="26"/>
      <c r="I33" s="26"/>
      <c r="T33" s="26"/>
      <c r="U33" s="26"/>
      <c r="V33" s="26"/>
      <c r="W33" s="26"/>
    </row>
    <row r="34" spans="1:23">
      <c r="A34" s="23">
        <v>42887</v>
      </c>
      <c r="B34" s="25">
        <v>46.368181818181824</v>
      </c>
      <c r="C34" s="20">
        <v>41.291570868819015</v>
      </c>
      <c r="D34" s="20">
        <f t="shared" si="4"/>
        <v>54.252408558864225</v>
      </c>
      <c r="E34" s="20"/>
      <c r="F34" s="26"/>
      <c r="H34" s="26"/>
      <c r="I34" s="26"/>
      <c r="T34" s="26"/>
      <c r="U34" s="26"/>
      <c r="V34" s="26"/>
      <c r="W34" s="26"/>
    </row>
    <row r="35" spans="1:23">
      <c r="A35" s="23">
        <v>42917</v>
      </c>
      <c r="B35" s="25">
        <v>48.478571428571428</v>
      </c>
      <c r="C35" s="20">
        <v>42.114472933058657</v>
      </c>
      <c r="D35" s="20">
        <f t="shared" si="4"/>
        <v>54.252408558864225</v>
      </c>
      <c r="E35" s="20"/>
      <c r="F35" s="26"/>
      <c r="H35" s="26"/>
      <c r="I35" s="26"/>
      <c r="T35" s="26"/>
      <c r="U35" s="26"/>
      <c r="V35" s="26"/>
      <c r="W35" s="26"/>
    </row>
    <row r="36" spans="1:23">
      <c r="A36" s="23">
        <v>42948</v>
      </c>
      <c r="B36" s="25">
        <v>51.696818181818188</v>
      </c>
      <c r="C36" s="20">
        <v>43.785856205255598</v>
      </c>
      <c r="D36" s="20">
        <f t="shared" si="4"/>
        <v>54.252408558864225</v>
      </c>
      <c r="E36" s="20"/>
      <c r="F36" s="26"/>
      <c r="H36" s="26"/>
      <c r="I36" s="26"/>
      <c r="T36" s="26"/>
      <c r="U36" s="26"/>
      <c r="V36" s="26"/>
      <c r="W36" s="26"/>
    </row>
    <row r="37" spans="1:23">
      <c r="A37" s="23">
        <v>42979</v>
      </c>
      <c r="B37" s="25">
        <v>56.152857142857137</v>
      </c>
      <c r="C37" s="20">
        <v>47.129565238243678</v>
      </c>
      <c r="D37" s="20">
        <f t="shared" si="4"/>
        <v>54.252408558864225</v>
      </c>
      <c r="E37" s="20"/>
      <c r="F37" s="26"/>
      <c r="H37" s="26"/>
      <c r="I37" s="26"/>
      <c r="T37" s="26"/>
      <c r="U37" s="26"/>
      <c r="V37" s="26"/>
      <c r="W37" s="26"/>
    </row>
    <row r="38" spans="1:23">
      <c r="A38" s="23">
        <v>43009</v>
      </c>
      <c r="B38" s="25">
        <v>57.5</v>
      </c>
      <c r="C38" s="20">
        <v>48.9117616353928</v>
      </c>
      <c r="D38" s="20">
        <f t="shared" si="4"/>
        <v>54.252408558864225</v>
      </c>
      <c r="E38" s="20"/>
      <c r="F38" s="26"/>
      <c r="H38" s="26"/>
      <c r="I38" s="26"/>
      <c r="T38" s="26"/>
      <c r="U38" s="26"/>
      <c r="V38" s="26"/>
      <c r="W38" s="26"/>
    </row>
    <row r="39" spans="1:23">
      <c r="A39" s="23">
        <v>43040</v>
      </c>
      <c r="B39" s="25">
        <v>62.73181818181817</v>
      </c>
      <c r="C39" s="20">
        <v>53.443361886026729</v>
      </c>
      <c r="D39" s="20">
        <f t="shared" si="4"/>
        <v>54.252408558864225</v>
      </c>
      <c r="E39" s="20"/>
      <c r="F39" s="26"/>
      <c r="H39" s="26"/>
      <c r="I39" s="26"/>
      <c r="T39" s="26"/>
      <c r="U39" s="26"/>
      <c r="V39" s="26"/>
      <c r="W39" s="26"/>
    </row>
    <row r="40" spans="1:23">
      <c r="A40" s="23">
        <v>43070</v>
      </c>
      <c r="B40" s="25">
        <v>64.384736842105269</v>
      </c>
      <c r="C40" s="20">
        <v>54.396410657749634</v>
      </c>
      <c r="D40" s="20">
        <f t="shared" si="4"/>
        <v>54.252408558864225</v>
      </c>
      <c r="E40" s="20"/>
      <c r="F40" s="26"/>
      <c r="H40" s="26"/>
      <c r="I40" s="26"/>
      <c r="T40" s="26"/>
      <c r="U40" s="26"/>
      <c r="V40" s="26"/>
      <c r="W40" s="26"/>
    </row>
    <row r="41" spans="1:23">
      <c r="A41" s="23">
        <v>43101</v>
      </c>
      <c r="B41" s="25">
        <v>69.085909090909084</v>
      </c>
      <c r="C41" s="20">
        <v>56.630115243173144</v>
      </c>
      <c r="D41" s="25">
        <f t="shared" ref="D41" si="5">AVERAGE(B41:B52)</f>
        <v>71.048841884316303</v>
      </c>
      <c r="E41" s="25"/>
      <c r="F41" s="26"/>
      <c r="H41" s="26"/>
      <c r="I41" s="26"/>
      <c r="T41" s="26"/>
      <c r="U41" s="26"/>
      <c r="V41" s="26"/>
      <c r="W41" s="26"/>
    </row>
    <row r="42" spans="1:23">
      <c r="A42" s="23">
        <v>43132</v>
      </c>
      <c r="B42" s="25">
        <v>65.317499999999981</v>
      </c>
      <c r="C42" s="20">
        <v>52.898087108634719</v>
      </c>
      <c r="D42" s="20">
        <f>D41</f>
        <v>71.048841884316303</v>
      </c>
      <c r="E42" s="20"/>
      <c r="F42" s="26"/>
      <c r="H42" s="26"/>
      <c r="I42" s="26"/>
      <c r="T42" s="26"/>
      <c r="U42" s="26"/>
      <c r="V42" s="26"/>
      <c r="W42" s="26"/>
    </row>
    <row r="43" spans="1:23">
      <c r="A43" s="23">
        <v>43160</v>
      </c>
      <c r="B43" s="25">
        <v>66.016666666666666</v>
      </c>
      <c r="C43" s="20">
        <v>53.514629815486757</v>
      </c>
      <c r="D43" s="20">
        <f t="shared" ref="D43:D52" si="6">D42</f>
        <v>71.048841884316303</v>
      </c>
      <c r="E43" s="20"/>
      <c r="F43" s="26"/>
      <c r="H43" s="26"/>
      <c r="I43" s="26"/>
      <c r="T43" s="26"/>
      <c r="U43" s="26"/>
      <c r="V43" s="26"/>
      <c r="W43" s="26"/>
    </row>
    <row r="44" spans="1:23">
      <c r="A44" s="23">
        <v>43191</v>
      </c>
      <c r="B44" s="25">
        <v>72.055500000000009</v>
      </c>
      <c r="C44" s="20">
        <v>58.694802179809884</v>
      </c>
      <c r="D44" s="20">
        <f t="shared" si="6"/>
        <v>71.048841884316303</v>
      </c>
      <c r="E44" s="20"/>
      <c r="F44" s="26"/>
      <c r="H44" s="26"/>
      <c r="I44" s="26"/>
      <c r="T44" s="26"/>
      <c r="U44" s="26"/>
      <c r="V44" s="26"/>
      <c r="W44" s="26"/>
    </row>
    <row r="45" spans="1:23">
      <c r="A45" s="23">
        <v>43221</v>
      </c>
      <c r="B45" s="25">
        <v>76.975238095238112</v>
      </c>
      <c r="C45" s="20">
        <v>65.165727273943361</v>
      </c>
      <c r="D45" s="20">
        <f t="shared" si="6"/>
        <v>71.048841884316303</v>
      </c>
      <c r="E45" s="20"/>
      <c r="F45" s="26"/>
      <c r="H45" s="26"/>
      <c r="I45" s="26"/>
      <c r="T45" s="26"/>
      <c r="U45" s="26"/>
      <c r="V45" s="26"/>
      <c r="W45" s="26"/>
    </row>
    <row r="46" spans="1:23">
      <c r="A46" s="23">
        <v>43252</v>
      </c>
      <c r="B46" s="25">
        <v>74.404761904761898</v>
      </c>
      <c r="C46" s="20">
        <v>63.712058195103644</v>
      </c>
      <c r="D46" s="20">
        <f t="shared" si="6"/>
        <v>71.048841884316303</v>
      </c>
      <c r="E46" s="20"/>
      <c r="F46" s="26"/>
      <c r="H46" s="26"/>
      <c r="I46" s="26"/>
      <c r="T46" s="26"/>
      <c r="U46" s="26"/>
      <c r="V46" s="26"/>
      <c r="W46" s="26"/>
    </row>
    <row r="47" spans="1:23">
      <c r="A47" s="23">
        <v>43282</v>
      </c>
      <c r="B47" s="25">
        <v>74.25409090909092</v>
      </c>
      <c r="C47" s="20">
        <v>63.542549963825316</v>
      </c>
      <c r="D47" s="20">
        <f t="shared" si="6"/>
        <v>71.048841884316303</v>
      </c>
      <c r="E47" s="20"/>
      <c r="F47" s="26"/>
      <c r="H47" s="26"/>
      <c r="I47" s="26"/>
      <c r="T47" s="26"/>
      <c r="U47" s="26"/>
      <c r="V47" s="26"/>
      <c r="W47" s="26"/>
    </row>
    <row r="48" spans="1:23">
      <c r="A48" s="23">
        <v>43313</v>
      </c>
      <c r="B48" s="25">
        <v>72.442727272727282</v>
      </c>
      <c r="C48" s="20">
        <v>62.72664299702317</v>
      </c>
      <c r="D48" s="20">
        <f t="shared" si="6"/>
        <v>71.048841884316303</v>
      </c>
      <c r="E48" s="20"/>
      <c r="F48" s="26"/>
      <c r="H48" s="26"/>
      <c r="I48" s="26"/>
      <c r="T48" s="26"/>
      <c r="U48" s="26"/>
      <c r="V48" s="26"/>
      <c r="W48" s="26"/>
    </row>
    <row r="49" spans="1:23">
      <c r="A49" s="23">
        <v>43344</v>
      </c>
      <c r="B49" s="25">
        <v>78.89100000000002</v>
      </c>
      <c r="C49" s="20">
        <v>67.667064080900971</v>
      </c>
      <c r="D49" s="20">
        <f t="shared" si="6"/>
        <v>71.048841884316303</v>
      </c>
      <c r="E49" s="20"/>
      <c r="F49" s="26"/>
      <c r="H49" s="26"/>
      <c r="I49" s="26"/>
      <c r="T49" s="26"/>
      <c r="U49" s="26"/>
      <c r="V49" s="26"/>
      <c r="W49" s="26"/>
    </row>
    <row r="50" spans="1:23">
      <c r="A50" s="23">
        <v>43374</v>
      </c>
      <c r="B50" s="25">
        <v>81.032173913043479</v>
      </c>
      <c r="C50" s="20">
        <v>70.56066451371089</v>
      </c>
      <c r="D50" s="20">
        <f t="shared" si="6"/>
        <v>71.048841884316303</v>
      </c>
      <c r="E50" s="20"/>
      <c r="F50" s="26"/>
      <c r="H50" s="26"/>
      <c r="I50" s="26"/>
      <c r="T50" s="26"/>
      <c r="U50" s="26"/>
      <c r="V50" s="26"/>
      <c r="W50" s="26"/>
    </row>
    <row r="51" spans="1:23">
      <c r="A51" s="23">
        <v>43405</v>
      </c>
      <c r="B51" s="25">
        <v>64.74818181818182</v>
      </c>
      <c r="C51" s="20">
        <v>56.96222272874504</v>
      </c>
      <c r="D51" s="20">
        <f t="shared" si="6"/>
        <v>71.048841884316303</v>
      </c>
      <c r="E51" s="20"/>
      <c r="F51" s="26"/>
      <c r="H51" s="26"/>
      <c r="I51" s="26"/>
      <c r="T51" s="26"/>
      <c r="U51" s="26"/>
      <c r="V51" s="26"/>
      <c r="W51" s="26"/>
    </row>
    <row r="52" spans="1:23">
      <c r="A52" s="23">
        <v>43435</v>
      </c>
      <c r="B52" s="25">
        <v>57.362352941176482</v>
      </c>
      <c r="C52" s="20">
        <v>50.387642435615042</v>
      </c>
      <c r="D52" s="20">
        <f t="shared" si="6"/>
        <v>71.048841884316303</v>
      </c>
      <c r="E52" s="20"/>
      <c r="F52" s="26"/>
      <c r="H52" s="26"/>
      <c r="I52" s="26"/>
      <c r="T52" s="26"/>
      <c r="U52" s="26"/>
      <c r="V52" s="26"/>
      <c r="W52" s="26"/>
    </row>
    <row r="53" spans="1:23">
      <c r="A53" s="23">
        <v>43466</v>
      </c>
      <c r="B53" s="25">
        <v>59.409545454545452</v>
      </c>
      <c r="C53" s="20">
        <v>52.038732127997584</v>
      </c>
      <c r="D53" s="25">
        <f t="shared" ref="D53" si="7">AVERAGE(B53:B64)</f>
        <v>64.343538121902242</v>
      </c>
      <c r="E53" s="25"/>
      <c r="F53" s="26"/>
      <c r="H53" s="26"/>
      <c r="I53" s="26"/>
      <c r="T53" s="26"/>
      <c r="U53" s="26"/>
      <c r="V53" s="26"/>
      <c r="W53" s="26"/>
    </row>
    <row r="54" spans="1:23">
      <c r="A54" s="23">
        <v>43497</v>
      </c>
      <c r="B54" s="25">
        <v>63.960499999999989</v>
      </c>
      <c r="C54" s="20">
        <v>56.347154253093294</v>
      </c>
      <c r="D54" s="20">
        <f>D53</f>
        <v>64.343538121902242</v>
      </c>
      <c r="E54" s="20"/>
      <c r="F54" s="26"/>
      <c r="H54" s="26"/>
      <c r="I54" s="26"/>
      <c r="T54" s="26"/>
      <c r="U54" s="26"/>
      <c r="V54" s="26"/>
      <c r="W54" s="26"/>
    </row>
    <row r="55" spans="1:23">
      <c r="A55" s="23">
        <v>43525</v>
      </c>
      <c r="B55" s="25">
        <v>66.138095238095218</v>
      </c>
      <c r="C55" s="20">
        <v>58.516464997135031</v>
      </c>
      <c r="D55" s="20">
        <f t="shared" ref="D55:D64" si="8">D54</f>
        <v>64.343538121902242</v>
      </c>
      <c r="E55" s="20"/>
      <c r="F55" s="26"/>
      <c r="H55" s="26"/>
      <c r="I55" s="26"/>
      <c r="T55" s="26"/>
      <c r="U55" s="26"/>
      <c r="V55" s="26"/>
      <c r="W55" s="26"/>
    </row>
    <row r="56" spans="1:23">
      <c r="A56" s="23">
        <v>43556</v>
      </c>
      <c r="B56" s="25">
        <v>71.259500000000003</v>
      </c>
      <c r="C56" s="20">
        <v>63.408003915200332</v>
      </c>
      <c r="D56" s="20">
        <f t="shared" si="8"/>
        <v>64.343538121902242</v>
      </c>
      <c r="E56" s="20"/>
      <c r="F56" s="26"/>
      <c r="H56" s="26"/>
      <c r="I56" s="26"/>
      <c r="T56" s="26"/>
      <c r="U56" s="26"/>
      <c r="V56" s="26"/>
      <c r="W56" s="26"/>
    </row>
    <row r="57" spans="1:23">
      <c r="A57" s="23">
        <v>43586</v>
      </c>
      <c r="B57" s="25">
        <v>71.28761904761906</v>
      </c>
      <c r="C57" s="20">
        <v>63.737350455684542</v>
      </c>
      <c r="D57" s="20">
        <f t="shared" si="8"/>
        <v>64.343538121902242</v>
      </c>
      <c r="E57" s="20"/>
      <c r="F57" s="26"/>
      <c r="H57" s="26"/>
      <c r="I57" s="26"/>
      <c r="T57" s="26"/>
      <c r="U57" s="26"/>
      <c r="V57" s="26"/>
      <c r="W57" s="26"/>
    </row>
    <row r="58" spans="1:23">
      <c r="A58" s="23">
        <v>43617</v>
      </c>
      <c r="B58" s="25">
        <v>64.220499999999987</v>
      </c>
      <c r="C58" s="20">
        <v>56.865514371225672</v>
      </c>
      <c r="D58" s="20">
        <f t="shared" si="8"/>
        <v>64.343538121902242</v>
      </c>
      <c r="E58" s="20"/>
      <c r="F58" s="26"/>
      <c r="H58" s="26"/>
      <c r="I58" s="26"/>
      <c r="T58" s="26"/>
      <c r="U58" s="26"/>
      <c r="V58" s="26"/>
      <c r="W58" s="26"/>
    </row>
    <row r="59" spans="1:23">
      <c r="A59" s="23">
        <v>43647</v>
      </c>
      <c r="B59" s="25">
        <v>63.919130434782595</v>
      </c>
      <c r="C59" s="20">
        <v>56.977091189545099</v>
      </c>
      <c r="D59" s="20">
        <f t="shared" si="8"/>
        <v>64.343538121902242</v>
      </c>
      <c r="E59" s="20"/>
      <c r="F59" s="26"/>
      <c r="H59" s="26"/>
      <c r="I59" s="26"/>
      <c r="T59" s="26"/>
      <c r="U59" s="26"/>
      <c r="V59" s="26"/>
      <c r="W59" s="26"/>
    </row>
    <row r="60" spans="1:23">
      <c r="A60" s="23">
        <v>43678</v>
      </c>
      <c r="B60" s="25">
        <v>59.060952380952379</v>
      </c>
      <c r="C60" s="20">
        <v>53.082640623136669</v>
      </c>
      <c r="D60" s="20">
        <f t="shared" si="8"/>
        <v>64.343538121902242</v>
      </c>
      <c r="E60" s="20"/>
      <c r="F60" s="26"/>
      <c r="H60" s="26"/>
      <c r="I60" s="26"/>
      <c r="T60" s="26"/>
      <c r="U60" s="26"/>
      <c r="V60" s="26"/>
      <c r="W60" s="26"/>
    </row>
    <row r="61" spans="1:23">
      <c r="A61" s="23">
        <v>43709</v>
      </c>
      <c r="B61" s="25">
        <v>62.826666666666675</v>
      </c>
      <c r="C61" s="20">
        <v>57.094884067127694</v>
      </c>
      <c r="D61" s="20">
        <f t="shared" si="8"/>
        <v>64.343538121902242</v>
      </c>
      <c r="E61" s="20"/>
      <c r="F61" s="26"/>
      <c r="H61" s="26"/>
      <c r="I61" s="26"/>
      <c r="T61" s="26"/>
      <c r="U61" s="26"/>
      <c r="V61" s="26"/>
      <c r="W61" s="26"/>
    </row>
    <row r="62" spans="1:23">
      <c r="A62" s="23">
        <v>43739</v>
      </c>
      <c r="B62" s="25">
        <v>59.713043478260865</v>
      </c>
      <c r="C62" s="20">
        <v>54.026411338701607</v>
      </c>
      <c r="D62" s="20">
        <f t="shared" si="8"/>
        <v>64.343538121902242</v>
      </c>
      <c r="E62" s="20"/>
      <c r="F62" s="26"/>
      <c r="H62" s="26"/>
      <c r="I62" s="26"/>
      <c r="T62" s="26"/>
      <c r="U62" s="26"/>
      <c r="V62" s="26"/>
      <c r="W62" s="26"/>
    </row>
    <row r="63" spans="1:23">
      <c r="A63" s="23">
        <v>43770</v>
      </c>
      <c r="B63" s="25">
        <v>63.211904761904762</v>
      </c>
      <c r="C63" s="20">
        <v>57.200413668289748</v>
      </c>
      <c r="D63" s="20">
        <f t="shared" si="8"/>
        <v>64.343538121902242</v>
      </c>
      <c r="E63" s="20"/>
      <c r="F63" s="26"/>
      <c r="H63" s="26"/>
      <c r="I63" s="26"/>
      <c r="T63" s="26"/>
      <c r="U63" s="26"/>
      <c r="V63" s="26"/>
      <c r="W63" s="26"/>
    </row>
    <row r="64" spans="1:23">
      <c r="A64" s="23">
        <v>43800</v>
      </c>
      <c r="B64" s="25">
        <v>67.114999999999995</v>
      </c>
      <c r="C64" s="20">
        <v>60.390787739180894</v>
      </c>
      <c r="D64" s="20">
        <f t="shared" si="8"/>
        <v>64.343538121902242</v>
      </c>
      <c r="E64" s="20"/>
      <c r="F64" s="26"/>
      <c r="H64" s="26"/>
      <c r="I64" s="26"/>
      <c r="T64" s="26"/>
      <c r="U64" s="26"/>
      <c r="V64" s="26"/>
      <c r="W64" s="26"/>
    </row>
    <row r="65" spans="1:23">
      <c r="A65" s="23">
        <v>43831</v>
      </c>
      <c r="B65" s="25">
        <v>63.645454545454534</v>
      </c>
      <c r="C65" s="20">
        <v>57.336368996920655</v>
      </c>
      <c r="D65" s="25">
        <f t="shared" ref="D65" si="9">AVERAGE(B65:B76)</f>
        <v>41.752922099385486</v>
      </c>
      <c r="E65" s="25"/>
      <c r="F65" s="26"/>
      <c r="H65" s="26"/>
      <c r="I65" s="26"/>
      <c r="T65" s="26"/>
      <c r="U65" s="26"/>
      <c r="V65" s="26"/>
      <c r="W65" s="26"/>
    </row>
    <row r="66" spans="1:23">
      <c r="A66" s="23">
        <v>43862</v>
      </c>
      <c r="B66" s="20">
        <v>55.618500000000004</v>
      </c>
      <c r="C66" s="20">
        <v>51.002751031636869</v>
      </c>
      <c r="D66" s="20">
        <f>D65</f>
        <v>41.752922099385486</v>
      </c>
      <c r="E66" s="20"/>
      <c r="F66" s="26"/>
      <c r="H66" s="26"/>
      <c r="I66" s="26"/>
      <c r="T66" s="26"/>
      <c r="U66" s="26"/>
      <c r="V66" s="26"/>
      <c r="W66" s="26"/>
    </row>
    <row r="67" spans="1:23">
      <c r="A67" s="23">
        <v>43891</v>
      </c>
      <c r="B67" s="20">
        <v>32.032727272727271</v>
      </c>
      <c r="C67" s="20">
        <v>28.953758294130942</v>
      </c>
      <c r="D67" s="20">
        <f t="shared" ref="D67:D76" si="10">D66</f>
        <v>41.752922099385486</v>
      </c>
      <c r="E67" s="20"/>
      <c r="F67" s="26"/>
      <c r="H67" s="26"/>
      <c r="I67" s="26"/>
      <c r="T67" s="26"/>
      <c r="U67" s="26"/>
      <c r="V67" s="26"/>
      <c r="W67" s="26"/>
    </row>
    <row r="68" spans="1:23">
      <c r="A68" s="23">
        <v>43922</v>
      </c>
      <c r="B68" s="20">
        <v>18.378500000000003</v>
      </c>
      <c r="C68" s="20">
        <v>16.92015209125476</v>
      </c>
      <c r="D68" s="20">
        <f t="shared" si="10"/>
        <v>41.752922099385486</v>
      </c>
      <c r="E68" s="20"/>
      <c r="F68" s="26"/>
      <c r="H68" s="26"/>
      <c r="I68" s="26"/>
      <c r="T68" s="26"/>
      <c r="U68" s="26"/>
      <c r="V68" s="26"/>
      <c r="W68" s="26"/>
    </row>
    <row r="69" spans="1:23">
      <c r="A69" s="23">
        <v>43952</v>
      </c>
      <c r="B69" s="20">
        <v>29.378947368421056</v>
      </c>
      <c r="C69" s="20">
        <v>26.948588880255226</v>
      </c>
      <c r="D69" s="20">
        <f t="shared" si="10"/>
        <v>41.752922099385486</v>
      </c>
      <c r="E69" s="20"/>
      <c r="F69" s="26"/>
      <c r="H69" s="26"/>
      <c r="I69" s="26"/>
      <c r="T69" s="26"/>
      <c r="U69" s="26"/>
      <c r="V69" s="26"/>
      <c r="W69" s="26"/>
    </row>
    <row r="70" spans="1:23">
      <c r="A70" s="23">
        <v>43983</v>
      </c>
      <c r="B70" s="20">
        <v>40.266818181818188</v>
      </c>
      <c r="C70" s="20">
        <v>35.77812690578795</v>
      </c>
      <c r="D70" s="20">
        <f t="shared" si="10"/>
        <v>41.752922099385486</v>
      </c>
      <c r="E70" s="20"/>
      <c r="F70" s="26"/>
      <c r="H70" s="26"/>
      <c r="I70" s="26"/>
      <c r="T70" s="26"/>
      <c r="U70" s="26"/>
      <c r="V70" s="26"/>
      <c r="W70" s="26"/>
    </row>
    <row r="71" spans="1:23">
      <c r="A71" s="23">
        <v>44013</v>
      </c>
      <c r="B71" s="20">
        <v>43.235217391304353</v>
      </c>
      <c r="C71" s="20">
        <v>37.715904694718162</v>
      </c>
      <c r="D71" s="20">
        <f t="shared" si="10"/>
        <v>41.752922099385486</v>
      </c>
      <c r="E71" s="20"/>
      <c r="F71" s="26"/>
      <c r="H71" s="26"/>
      <c r="I71" s="26"/>
      <c r="T71" s="26"/>
      <c r="U71" s="26"/>
      <c r="V71" s="26"/>
      <c r="W71" s="26"/>
    </row>
    <row r="72" spans="1:23">
      <c r="A72" s="23">
        <v>44044</v>
      </c>
      <c r="B72" s="20">
        <v>44.736000000000004</v>
      </c>
      <c r="C72" s="20">
        <v>37.82181247232176</v>
      </c>
      <c r="D72" s="20">
        <f t="shared" si="10"/>
        <v>41.752922099385486</v>
      </c>
      <c r="E72" s="20"/>
      <c r="F72" s="26"/>
      <c r="H72" s="26"/>
      <c r="I72" s="26"/>
      <c r="T72" s="26"/>
      <c r="U72" s="26"/>
      <c r="V72" s="26"/>
      <c r="W72" s="26"/>
    </row>
    <row r="73" spans="1:23">
      <c r="A73" s="23">
        <v>44075</v>
      </c>
      <c r="B73" s="20">
        <v>40.909545454545452</v>
      </c>
      <c r="C73" s="20">
        <v>34.691423219097032</v>
      </c>
      <c r="D73" s="20">
        <f t="shared" si="10"/>
        <v>41.752922099385486</v>
      </c>
      <c r="E73" s="20"/>
      <c r="F73" s="26"/>
      <c r="H73" s="26"/>
      <c r="I73" s="26"/>
      <c r="T73" s="26"/>
      <c r="U73" s="26"/>
      <c r="V73" s="26"/>
      <c r="W73" s="26"/>
    </row>
    <row r="74" spans="1:23">
      <c r="A74" s="23">
        <v>44105</v>
      </c>
      <c r="B74" s="20">
        <v>40.18954545454546</v>
      </c>
      <c r="C74" s="20">
        <v>34.130721780014987</v>
      </c>
      <c r="D74" s="20">
        <f t="shared" si="10"/>
        <v>41.752922099385486</v>
      </c>
      <c r="E74" s="20"/>
      <c r="F74" s="26"/>
      <c r="H74" s="26"/>
      <c r="I74" s="26"/>
      <c r="T74" s="26"/>
      <c r="U74" s="26"/>
      <c r="V74" s="26"/>
      <c r="W74" s="26"/>
    </row>
    <row r="75" spans="1:23">
      <c r="A75" s="23">
        <v>44136</v>
      </c>
      <c r="B75" s="20">
        <v>42.692380952380951</v>
      </c>
      <c r="C75" s="20">
        <v>36.0641361888365</v>
      </c>
      <c r="D75" s="20">
        <f t="shared" si="10"/>
        <v>41.752922099385486</v>
      </c>
      <c r="E75" s="20"/>
      <c r="F75" s="26"/>
      <c r="H75" s="26"/>
      <c r="I75" s="26"/>
      <c r="T75" s="26"/>
      <c r="U75" s="26"/>
      <c r="V75" s="26"/>
      <c r="W75" s="26"/>
    </row>
    <row r="76" spans="1:23">
      <c r="A76" s="23">
        <v>44166</v>
      </c>
      <c r="B76" s="20">
        <v>49.951428571428572</v>
      </c>
      <c r="C76" s="20">
        <v>41.045643383784963</v>
      </c>
      <c r="D76" s="20">
        <f t="shared" si="10"/>
        <v>41.752922099385486</v>
      </c>
      <c r="E76" s="20"/>
      <c r="F76" s="26"/>
      <c r="H76" s="26"/>
      <c r="I76" s="26"/>
      <c r="T76" s="26"/>
      <c r="U76" s="26"/>
      <c r="V76" s="26"/>
      <c r="W76" s="26"/>
    </row>
    <row r="77" spans="1:23">
      <c r="A77" s="23">
        <v>44197</v>
      </c>
      <c r="B77" s="20">
        <v>54.774000000000001</v>
      </c>
      <c r="C77" s="20">
        <v>45.004251962681309</v>
      </c>
      <c r="D77" s="25">
        <f t="shared" ref="D77" si="11">AVERAGE(B77:B88)</f>
        <v>70.676050552517651</v>
      </c>
      <c r="E77" s="25"/>
      <c r="F77" s="26"/>
      <c r="H77" s="26"/>
      <c r="I77" s="26"/>
      <c r="T77" s="26"/>
      <c r="U77" s="26"/>
      <c r="V77" s="26"/>
      <c r="W77" s="26"/>
    </row>
    <row r="78" spans="1:23">
      <c r="A78" s="23">
        <v>44228</v>
      </c>
      <c r="B78" s="20">
        <v>62.276499999999999</v>
      </c>
      <c r="C78" s="20">
        <v>51.477115863083668</v>
      </c>
      <c r="D78" s="20">
        <f>D77</f>
        <v>70.676050552517651</v>
      </c>
      <c r="E78" s="20"/>
      <c r="F78" s="26"/>
      <c r="H78" s="26"/>
      <c r="I78" s="26"/>
      <c r="T78" s="26"/>
      <c r="U78" s="26"/>
      <c r="V78" s="26"/>
      <c r="W78" s="26"/>
    </row>
    <row r="79" spans="1:23">
      <c r="A79" s="23">
        <v>44256</v>
      </c>
      <c r="B79" s="20">
        <v>65.41</v>
      </c>
      <c r="C79" s="20">
        <v>54.970604248042413</v>
      </c>
      <c r="D79" s="20">
        <f t="shared" ref="D79:D88" si="12">D78</f>
        <v>70.676050552517651</v>
      </c>
      <c r="E79" s="20"/>
      <c r="F79" s="26"/>
      <c r="H79" s="26"/>
      <c r="I79" s="26"/>
      <c r="T79" s="26"/>
      <c r="U79" s="26"/>
      <c r="V79" s="26"/>
      <c r="W79" s="26"/>
    </row>
    <row r="80" spans="1:23">
      <c r="A80" s="23">
        <v>44287</v>
      </c>
      <c r="B80" s="20">
        <v>64.8065</v>
      </c>
      <c r="C80" s="20">
        <v>54.099640206693302</v>
      </c>
      <c r="D80" s="20">
        <f t="shared" si="12"/>
        <v>70.676050552517651</v>
      </c>
      <c r="E80" s="20"/>
      <c r="F80" s="26"/>
      <c r="H80" s="26"/>
      <c r="I80" s="26"/>
      <c r="T80" s="26"/>
      <c r="U80" s="26"/>
      <c r="V80" s="26"/>
      <c r="W80" s="26"/>
    </row>
    <row r="81" spans="1:23">
      <c r="A81" s="23">
        <v>44317</v>
      </c>
      <c r="B81" s="20">
        <v>68.534210526315789</v>
      </c>
      <c r="C81" s="20">
        <v>56.425776317027548</v>
      </c>
      <c r="D81" s="20">
        <f t="shared" si="12"/>
        <v>70.676050552517651</v>
      </c>
      <c r="E81" s="20"/>
      <c r="F81" s="26"/>
      <c r="H81" s="26"/>
      <c r="I81" s="26"/>
      <c r="T81" s="26"/>
      <c r="U81" s="26"/>
      <c r="V81" s="26"/>
      <c r="W81" s="26"/>
    </row>
    <row r="82" spans="1:23">
      <c r="A82" s="23">
        <v>44348</v>
      </c>
      <c r="B82" s="20">
        <v>73.150454545454537</v>
      </c>
      <c r="C82" s="20">
        <v>60.720430432092236</v>
      </c>
      <c r="D82" s="20">
        <f t="shared" si="12"/>
        <v>70.676050552517651</v>
      </c>
      <c r="E82" s="20"/>
      <c r="F82" s="26"/>
      <c r="H82" s="26"/>
      <c r="I82" s="26"/>
      <c r="T82" s="26"/>
      <c r="U82" s="26"/>
      <c r="V82" s="26"/>
      <c r="W82" s="26"/>
    </row>
    <row r="83" spans="1:23">
      <c r="A83" s="23">
        <v>44378</v>
      </c>
      <c r="B83" s="20">
        <v>75.165909090909082</v>
      </c>
      <c r="C83" s="20">
        <v>63.58235927406951</v>
      </c>
      <c r="D83" s="20">
        <f t="shared" si="12"/>
        <v>70.676050552517651</v>
      </c>
      <c r="E83" s="20"/>
      <c r="F83" s="26"/>
      <c r="H83" s="26"/>
      <c r="I83" s="26"/>
      <c r="T83" s="26"/>
      <c r="U83" s="26"/>
      <c r="V83" s="26"/>
      <c r="W83" s="26"/>
    </row>
    <row r="84" spans="1:23">
      <c r="A84" s="23">
        <v>44409</v>
      </c>
      <c r="B84" s="20">
        <v>70.747142857142862</v>
      </c>
      <c r="C84" s="20">
        <v>60.098739009079587</v>
      </c>
      <c r="D84" s="20">
        <f t="shared" si="12"/>
        <v>70.676050552517651</v>
      </c>
      <c r="E84" s="20"/>
      <c r="F84" s="26"/>
      <c r="H84" s="26"/>
      <c r="I84" s="26"/>
      <c r="T84" s="26"/>
      <c r="U84" s="26"/>
      <c r="V84" s="26"/>
      <c r="W84" s="26"/>
    </row>
    <row r="85" spans="1:23">
      <c r="A85" s="23">
        <v>44440</v>
      </c>
      <c r="B85" s="20">
        <v>74.489318181818177</v>
      </c>
      <c r="C85" s="20">
        <v>63.285730284575614</v>
      </c>
      <c r="D85" s="20">
        <f t="shared" si="12"/>
        <v>70.676050552517651</v>
      </c>
      <c r="E85" s="20"/>
      <c r="F85" s="26"/>
      <c r="H85" s="26"/>
      <c r="I85" s="26"/>
      <c r="T85" s="26"/>
      <c r="U85" s="26"/>
      <c r="V85" s="26"/>
      <c r="W85" s="26"/>
    </row>
    <row r="86" spans="1:23">
      <c r="A86" s="23">
        <v>44470</v>
      </c>
      <c r="B86" s="20">
        <v>83.538095238095224</v>
      </c>
      <c r="C86" s="20">
        <v>72.006435962582756</v>
      </c>
      <c r="D86" s="20">
        <f t="shared" si="12"/>
        <v>70.676050552517651</v>
      </c>
      <c r="E86" s="20"/>
      <c r="F86" s="26"/>
      <c r="H86" s="26"/>
      <c r="I86" s="26"/>
      <c r="T86" s="26"/>
      <c r="U86" s="26"/>
      <c r="V86" s="26"/>
      <c r="W86" s="26"/>
    </row>
    <row r="87" spans="1:23">
      <c r="A87" s="23">
        <v>44501</v>
      </c>
      <c r="B87" s="20">
        <v>81.05</v>
      </c>
      <c r="C87" s="20">
        <v>71.009004057998709</v>
      </c>
      <c r="D87" s="20">
        <f t="shared" si="12"/>
        <v>70.676050552517651</v>
      </c>
      <c r="E87" s="20"/>
      <c r="F87" s="26"/>
      <c r="H87" s="26"/>
      <c r="I87" s="26"/>
      <c r="T87" s="26"/>
      <c r="U87" s="26"/>
      <c r="V87" s="26"/>
      <c r="W87" s="26"/>
    </row>
    <row r="88" spans="1:23">
      <c r="A88" s="23">
        <v>44531</v>
      </c>
      <c r="B88" s="20">
        <v>74.170476190476194</v>
      </c>
      <c r="C88" s="20">
        <v>65.615625103599527</v>
      </c>
      <c r="D88" s="20">
        <f t="shared" si="12"/>
        <v>70.676050552517651</v>
      </c>
      <c r="E88" s="20"/>
      <c r="F88" s="26"/>
      <c r="H88" s="26"/>
      <c r="I88" s="26"/>
      <c r="T88" s="26"/>
      <c r="U88" s="26"/>
      <c r="V88" s="26"/>
      <c r="W88" s="26"/>
    </row>
    <row r="89" spans="1:23">
      <c r="A89" s="23">
        <v>44562</v>
      </c>
      <c r="B89" s="20">
        <v>86.505238095238084</v>
      </c>
      <c r="C89" s="20">
        <v>76.455362704331563</v>
      </c>
      <c r="D89" s="25">
        <f t="shared" ref="D89" si="13">AVERAGE(B89:B100)</f>
        <v>100.75977741950398</v>
      </c>
      <c r="E89" s="25"/>
      <c r="F89" s="26"/>
      <c r="H89" s="26"/>
      <c r="I89" s="26"/>
      <c r="T89" s="26"/>
      <c r="U89" s="26"/>
      <c r="V89" s="26"/>
      <c r="W89" s="26"/>
    </row>
    <row r="90" spans="1:23">
      <c r="A90" s="23">
        <v>44593</v>
      </c>
      <c r="B90" s="20">
        <v>97.129000000000005</v>
      </c>
      <c r="C90" s="20">
        <v>85.637327079237153</v>
      </c>
      <c r="D90" s="20">
        <f>D89</f>
        <v>100.75977741950398</v>
      </c>
      <c r="E90" s="20"/>
      <c r="F90" s="26"/>
      <c r="H90" s="26"/>
      <c r="I90" s="26"/>
      <c r="T90" s="26"/>
      <c r="U90" s="26"/>
      <c r="V90" s="26"/>
      <c r="W90" s="26"/>
    </row>
    <row r="91" spans="1:23">
      <c r="A91" s="23">
        <v>44621</v>
      </c>
      <c r="B91" s="20">
        <v>117.24521739130434</v>
      </c>
      <c r="C91" s="20">
        <v>106.4031944948626</v>
      </c>
      <c r="D91" s="20">
        <f t="shared" ref="D91:D100" si="14">D90</f>
        <v>100.75977741950398</v>
      </c>
      <c r="E91" s="20"/>
      <c r="F91" s="26"/>
      <c r="H91" s="26"/>
      <c r="I91" s="26"/>
      <c r="T91" s="26"/>
      <c r="U91" s="26"/>
      <c r="V91" s="26"/>
      <c r="W91" s="26"/>
    </row>
    <row r="92" spans="1:23">
      <c r="A92" s="23">
        <v>44652</v>
      </c>
      <c r="B92" s="20">
        <v>104.57526315789472</v>
      </c>
      <c r="C92" s="20">
        <v>96.661250462161178</v>
      </c>
      <c r="D92" s="20">
        <f t="shared" si="14"/>
        <v>100.75977741950398</v>
      </c>
      <c r="E92" s="20"/>
      <c r="F92" s="26"/>
      <c r="H92" s="26"/>
      <c r="I92" s="26"/>
      <c r="T92" s="26"/>
      <c r="U92" s="26"/>
      <c r="V92" s="26"/>
      <c r="W92" s="26"/>
    </row>
    <row r="93" spans="1:23">
      <c r="A93" s="23">
        <v>44682</v>
      </c>
      <c r="B93" s="20">
        <v>113.11136363636366</v>
      </c>
      <c r="C93" s="20">
        <v>106.92571124106789</v>
      </c>
      <c r="D93" s="20">
        <f t="shared" si="14"/>
        <v>100.75977741950398</v>
      </c>
      <c r="E93" s="20"/>
      <c r="F93" s="26"/>
      <c r="H93" s="26"/>
      <c r="I93" s="26"/>
      <c r="T93" s="26"/>
      <c r="U93" s="26"/>
      <c r="V93" s="26"/>
      <c r="W93" s="26"/>
    </row>
    <row r="94" spans="1:23">
      <c r="A94" s="23">
        <v>44713</v>
      </c>
      <c r="B94" s="20">
        <v>122.69445454545458</v>
      </c>
      <c r="C94" s="20">
        <v>116.12395030286351</v>
      </c>
      <c r="D94" s="20">
        <f t="shared" si="14"/>
        <v>100.75977741950398</v>
      </c>
      <c r="E94" s="20"/>
      <c r="F94" s="26"/>
      <c r="H94" s="26"/>
      <c r="I94" s="26"/>
      <c r="T94" s="26"/>
      <c r="U94" s="26"/>
      <c r="V94" s="26"/>
      <c r="W94" s="26"/>
    </row>
    <row r="95" spans="1:23">
      <c r="A95" s="23">
        <v>44743</v>
      </c>
      <c r="B95" s="20">
        <v>111.92571428571429</v>
      </c>
      <c r="C95" s="20">
        <v>109.95850428290069</v>
      </c>
      <c r="D95" s="20">
        <f t="shared" si="14"/>
        <v>100.75977741950398</v>
      </c>
      <c r="E95" s="20"/>
      <c r="F95" s="26"/>
      <c r="H95" s="26"/>
      <c r="I95" s="26"/>
      <c r="T95" s="26"/>
      <c r="U95" s="26"/>
      <c r="V95" s="26"/>
      <c r="W95" s="26"/>
    </row>
    <row r="96" spans="1:23">
      <c r="A96" s="23">
        <v>44774</v>
      </c>
      <c r="B96" s="20">
        <v>100.44636363636364</v>
      </c>
      <c r="C96" s="20">
        <v>99.172641965210488</v>
      </c>
      <c r="D96" s="20">
        <f t="shared" si="14"/>
        <v>100.75977741950398</v>
      </c>
      <c r="E96" s="20"/>
      <c r="F96" s="26"/>
      <c r="H96" s="26"/>
      <c r="I96" s="26"/>
      <c r="T96" s="26"/>
      <c r="U96" s="26"/>
      <c r="V96" s="26"/>
      <c r="W96" s="26"/>
    </row>
    <row r="97" spans="1:23">
      <c r="A97" s="23">
        <v>44805</v>
      </c>
      <c r="B97" s="20">
        <v>89.749545454545455</v>
      </c>
      <c r="C97" s="20">
        <v>90.621572128160523</v>
      </c>
      <c r="D97" s="20">
        <f t="shared" si="14"/>
        <v>100.75977741950398</v>
      </c>
      <c r="E97" s="20"/>
      <c r="F97" s="26"/>
      <c r="H97" s="26"/>
      <c r="I97" s="26"/>
      <c r="T97" s="26"/>
      <c r="U97" s="26"/>
      <c r="V97" s="26"/>
      <c r="W97" s="26"/>
    </row>
    <row r="98" spans="1:23">
      <c r="A98" s="23">
        <v>44835</v>
      </c>
      <c r="B98" s="20">
        <v>93.395714285714291</v>
      </c>
      <c r="C98" s="20">
        <v>95.052801457795184</v>
      </c>
      <c r="D98" s="20">
        <f t="shared" si="14"/>
        <v>100.75977741950398</v>
      </c>
      <c r="E98" s="20"/>
      <c r="F98" s="26"/>
      <c r="H98" s="26"/>
      <c r="I98" s="26"/>
      <c r="T98" s="26"/>
      <c r="U98" s="26"/>
      <c r="V98" s="26"/>
      <c r="W98" s="26"/>
    </row>
    <row r="99" spans="1:23">
      <c r="A99" s="23">
        <v>44866</v>
      </c>
      <c r="B99" s="20">
        <v>91.415454545454551</v>
      </c>
      <c r="C99" s="20">
        <v>89.611813142745135</v>
      </c>
      <c r="D99" s="20">
        <f t="shared" si="14"/>
        <v>100.75977741950398</v>
      </c>
      <c r="E99" s="20"/>
      <c r="F99" s="26"/>
      <c r="H99" s="26"/>
      <c r="I99" s="26"/>
      <c r="T99" s="26"/>
      <c r="U99" s="26"/>
      <c r="V99" s="26"/>
      <c r="W99" s="26"/>
    </row>
    <row r="100" spans="1:23">
      <c r="A100" s="23">
        <v>44896</v>
      </c>
      <c r="B100" s="20">
        <v>80.924000000000007</v>
      </c>
      <c r="C100" s="20">
        <v>76.42407753018685</v>
      </c>
      <c r="D100" s="20">
        <f t="shared" si="14"/>
        <v>100.75977741950398</v>
      </c>
      <c r="E100" s="20"/>
      <c r="F100" s="26"/>
      <c r="H100" s="26"/>
      <c r="I100" s="26"/>
      <c r="T100" s="26"/>
      <c r="U100" s="26"/>
      <c r="V100" s="26"/>
      <c r="W100" s="26"/>
    </row>
    <row r="101" spans="1:23">
      <c r="A101" s="23">
        <v>44927</v>
      </c>
      <c r="B101" s="20">
        <v>82.501428571428576</v>
      </c>
      <c r="C101" s="20">
        <v>76.610111032991526</v>
      </c>
      <c r="D101" s="25">
        <f t="shared" ref="D101" si="15">AVERAGE(B101:B112)</f>
        <v>82.481193183881985</v>
      </c>
      <c r="E101" s="25"/>
      <c r="F101" s="26"/>
      <c r="H101" s="26"/>
      <c r="I101" s="26"/>
      <c r="T101" s="26"/>
      <c r="U101" s="26"/>
      <c r="V101" s="26"/>
      <c r="W101" s="26"/>
    </row>
    <row r="102" spans="1:23">
      <c r="A102" s="23">
        <v>44958</v>
      </c>
      <c r="B102" s="20">
        <v>82.585000000000008</v>
      </c>
      <c r="C102" s="20">
        <v>77.07347574917641</v>
      </c>
      <c r="D102" s="20">
        <f>D101</f>
        <v>82.481193183881985</v>
      </c>
      <c r="E102" s="20"/>
      <c r="F102" s="26"/>
      <c r="H102" s="26"/>
      <c r="I102" s="26"/>
      <c r="T102" s="26"/>
      <c r="U102" s="26"/>
      <c r="V102" s="26"/>
      <c r="W102" s="26"/>
    </row>
    <row r="103" spans="1:23">
      <c r="A103" s="23">
        <v>44986</v>
      </c>
      <c r="B103" s="20">
        <v>78.434347826086949</v>
      </c>
      <c r="C103" s="20">
        <v>73.263237408318901</v>
      </c>
      <c r="D103" s="20">
        <f t="shared" ref="D103:D112" si="16">D102</f>
        <v>82.481193183881985</v>
      </c>
      <c r="E103" s="20"/>
      <c r="F103" s="26"/>
      <c r="H103" s="26"/>
      <c r="I103" s="26"/>
      <c r="T103" s="26"/>
      <c r="U103" s="26"/>
      <c r="V103" s="26"/>
      <c r="W103" s="26"/>
    </row>
    <row r="104" spans="1:23">
      <c r="A104" s="23">
        <v>45017</v>
      </c>
      <c r="B104" s="20">
        <v>84.638333333333321</v>
      </c>
      <c r="C104" s="20">
        <v>77.170383802977426</v>
      </c>
      <c r="D104" s="20">
        <f t="shared" si="16"/>
        <v>82.481193183881985</v>
      </c>
      <c r="E104" s="20"/>
      <c r="F104" s="26"/>
      <c r="H104" s="26"/>
      <c r="I104" s="26"/>
      <c r="T104" s="26"/>
      <c r="U104" s="26"/>
      <c r="V104" s="26"/>
      <c r="W104" s="26"/>
    </row>
    <row r="105" spans="1:23">
      <c r="A105" s="23">
        <v>45047</v>
      </c>
      <c r="B105" s="20">
        <v>75.63095238095238</v>
      </c>
      <c r="C105" s="20">
        <v>69.593698993284903</v>
      </c>
      <c r="D105" s="20">
        <f t="shared" si="16"/>
        <v>82.481193183881985</v>
      </c>
      <c r="E105" s="20"/>
      <c r="F105" s="26"/>
      <c r="H105" s="26"/>
      <c r="I105" s="26"/>
      <c r="T105" s="26"/>
      <c r="U105" s="26"/>
      <c r="V105" s="26"/>
      <c r="W105" s="26"/>
    </row>
    <row r="106" spans="1:23">
      <c r="A106" s="23">
        <v>45078</v>
      </c>
      <c r="B106" s="20">
        <v>74.839090909090899</v>
      </c>
      <c r="C106" s="20">
        <v>69.040620269459922</v>
      </c>
      <c r="D106" s="20">
        <f t="shared" si="16"/>
        <v>82.481193183881985</v>
      </c>
      <c r="E106" s="20"/>
      <c r="F106" s="26"/>
      <c r="H106" s="26"/>
      <c r="I106" s="26"/>
      <c r="T106" s="26"/>
      <c r="U106" s="26"/>
      <c r="V106" s="26"/>
      <c r="W106" s="26"/>
    </row>
    <row r="107" spans="1:23">
      <c r="A107" s="23">
        <v>45108</v>
      </c>
      <c r="B107" s="20">
        <v>80.108095238095231</v>
      </c>
      <c r="C107" s="20">
        <v>72.442630080828167</v>
      </c>
      <c r="D107" s="20">
        <f t="shared" si="16"/>
        <v>82.481193183881985</v>
      </c>
      <c r="E107" s="20"/>
      <c r="F107" s="26"/>
      <c r="H107" s="26"/>
      <c r="I107" s="26"/>
      <c r="T107" s="26"/>
      <c r="U107" s="26"/>
      <c r="V107" s="26"/>
      <c r="W107" s="26"/>
    </row>
    <row r="108" spans="1:23">
      <c r="A108" s="23">
        <v>45139</v>
      </c>
      <c r="B108" s="20">
        <v>86.147727272727266</v>
      </c>
      <c r="C108" s="20">
        <v>78.970352297003117</v>
      </c>
      <c r="D108" s="20">
        <f t="shared" si="16"/>
        <v>82.481193183881985</v>
      </c>
      <c r="E108" s="20"/>
      <c r="F108" s="26"/>
      <c r="H108" s="26"/>
      <c r="I108" s="26"/>
      <c r="T108" s="26"/>
      <c r="U108" s="26"/>
      <c r="V108" s="26"/>
      <c r="W108" s="26"/>
    </row>
    <row r="109" spans="1:23">
      <c r="A109" s="23">
        <v>45170</v>
      </c>
      <c r="B109" s="20">
        <v>93.722380952380945</v>
      </c>
      <c r="C109" s="20">
        <v>87.723747548582637</v>
      </c>
      <c r="D109" s="20">
        <f t="shared" si="16"/>
        <v>82.481193183881985</v>
      </c>
      <c r="E109" s="20"/>
      <c r="F109" s="26"/>
      <c r="H109" s="26"/>
      <c r="I109" s="26"/>
      <c r="T109" s="26"/>
      <c r="U109" s="26"/>
      <c r="V109" s="26"/>
      <c r="W109" s="26"/>
    </row>
    <row r="110" spans="1:23">
      <c r="A110" s="23">
        <v>45200</v>
      </c>
      <c r="B110" s="20">
        <v>90.595909090909103</v>
      </c>
      <c r="C110" s="20">
        <v>85.770905773401751</v>
      </c>
      <c r="D110" s="20">
        <f t="shared" si="16"/>
        <v>82.481193183881985</v>
      </c>
      <c r="E110" s="20"/>
      <c r="F110" s="26"/>
      <c r="H110" s="26"/>
      <c r="I110" s="26"/>
      <c r="T110" s="26"/>
      <c r="U110" s="26"/>
      <c r="V110" s="26"/>
      <c r="W110" s="26"/>
    </row>
    <row r="111" spans="1:23">
      <c r="A111" s="23">
        <v>45231</v>
      </c>
      <c r="B111" s="20">
        <v>82.94</v>
      </c>
      <c r="C111" s="20">
        <v>76.73783859938348</v>
      </c>
      <c r="D111" s="20">
        <f t="shared" si="16"/>
        <v>82.481193183881985</v>
      </c>
      <c r="E111" s="20"/>
      <c r="F111" s="26"/>
      <c r="H111" s="26"/>
      <c r="I111" s="26"/>
      <c r="T111" s="26"/>
      <c r="U111" s="26"/>
      <c r="V111" s="26"/>
      <c r="W111" s="26"/>
    </row>
    <row r="112" spans="1:23">
      <c r="A112" s="23">
        <v>45261</v>
      </c>
      <c r="B112" s="20">
        <v>77.631052631578939</v>
      </c>
      <c r="C112" s="20">
        <v>71.201208739223205</v>
      </c>
      <c r="D112" s="20">
        <f t="shared" si="16"/>
        <v>82.481193183881985</v>
      </c>
      <c r="E112" s="20"/>
      <c r="F112" s="26"/>
      <c r="H112" s="26"/>
      <c r="I112" s="26"/>
      <c r="T112" s="26"/>
      <c r="U112" s="26"/>
      <c r="V112" s="26"/>
      <c r="W112" s="26"/>
    </row>
    <row r="113" spans="1:23">
      <c r="A113" s="23">
        <v>45292</v>
      </c>
      <c r="B113" s="20">
        <v>80.12409090909091</v>
      </c>
      <c r="C113" s="20">
        <v>73.473717555947118</v>
      </c>
      <c r="D113" s="25">
        <f t="shared" ref="D113" si="17">AVERAGE(B113:B124)</f>
        <v>80.521063907710626</v>
      </c>
      <c r="E113" s="25"/>
      <c r="F113" s="26"/>
      <c r="H113" s="26"/>
      <c r="I113" s="26"/>
      <c r="T113" s="26"/>
      <c r="U113" s="26"/>
      <c r="V113" s="26"/>
      <c r="W113" s="26"/>
    </row>
    <row r="114" spans="1:23">
      <c r="A114" s="23">
        <v>45323</v>
      </c>
      <c r="B114" s="20">
        <v>83.478095238095221</v>
      </c>
      <c r="C114" s="20">
        <v>77.332380486040321</v>
      </c>
      <c r="D114" s="20">
        <f>D113</f>
        <v>80.521063907710626</v>
      </c>
      <c r="E114" s="20"/>
      <c r="F114" s="26"/>
      <c r="H114" s="26"/>
      <c r="I114" s="26"/>
      <c r="T114" s="26"/>
      <c r="U114" s="26"/>
      <c r="V114" s="26"/>
      <c r="W114" s="26"/>
    </row>
    <row r="115" spans="1:23">
      <c r="A115" s="23">
        <v>45352</v>
      </c>
      <c r="B115" s="20">
        <v>85.408500000000004</v>
      </c>
      <c r="C115" s="20">
        <v>78.556777837052309</v>
      </c>
      <c r="D115" s="20">
        <f t="shared" ref="D115:D124" si="18">D114</f>
        <v>80.521063907710626</v>
      </c>
      <c r="E115" s="20"/>
      <c r="F115" s="26"/>
      <c r="H115" s="26"/>
      <c r="I115" s="26"/>
      <c r="T115" s="26"/>
      <c r="U115" s="26"/>
      <c r="V115" s="26"/>
      <c r="W115" s="26"/>
    </row>
    <row r="116" spans="1:23">
      <c r="A116" s="23">
        <v>45383</v>
      </c>
      <c r="B116" s="20">
        <v>89.938095238095229</v>
      </c>
      <c r="C116" s="20">
        <v>83.836774190684594</v>
      </c>
      <c r="D116" s="20">
        <f t="shared" si="18"/>
        <v>80.521063907710626</v>
      </c>
      <c r="E116" s="20"/>
      <c r="F116" s="26"/>
      <c r="H116" s="26"/>
      <c r="I116" s="26"/>
      <c r="T116" s="26"/>
      <c r="U116" s="26"/>
      <c r="V116" s="26"/>
      <c r="W116" s="26"/>
    </row>
    <row r="117" spans="1:23">
      <c r="A117" s="23">
        <v>45413</v>
      </c>
      <c r="B117" s="20">
        <v>81.746190476190492</v>
      </c>
      <c r="C117" s="20">
        <v>75.605320175230531</v>
      </c>
      <c r="D117" s="20">
        <f t="shared" si="18"/>
        <v>80.521063907710626</v>
      </c>
      <c r="E117" s="20"/>
      <c r="F117" s="26"/>
      <c r="H117" s="26"/>
      <c r="I117" s="26"/>
      <c r="T117" s="26"/>
      <c r="U117" s="26"/>
      <c r="V117" s="26"/>
      <c r="W117" s="26"/>
    </row>
    <row r="118" spans="1:23">
      <c r="A118" s="23">
        <v>45444</v>
      </c>
      <c r="B118" s="20">
        <v>82.246000000000009</v>
      </c>
      <c r="C118" s="20">
        <v>76.443907426340743</v>
      </c>
      <c r="D118" s="20">
        <f t="shared" si="18"/>
        <v>80.521063907710626</v>
      </c>
      <c r="E118" s="20"/>
      <c r="F118" s="26"/>
      <c r="H118" s="26"/>
      <c r="I118" s="26"/>
      <c r="T118" s="26"/>
      <c r="U118" s="26"/>
      <c r="V118" s="26"/>
      <c r="W118" s="26"/>
    </row>
    <row r="119" spans="1:23">
      <c r="A119" s="23">
        <v>45474</v>
      </c>
      <c r="B119" s="20">
        <v>85.153043478260869</v>
      </c>
      <c r="C119" s="20">
        <v>78.524862277177718</v>
      </c>
      <c r="D119" s="20">
        <f t="shared" si="18"/>
        <v>80.521063907710626</v>
      </c>
      <c r="E119" s="20"/>
      <c r="F119" s="26"/>
      <c r="H119" s="26"/>
      <c r="I119" s="26"/>
      <c r="T119" s="26"/>
      <c r="U119" s="26"/>
      <c r="V119" s="26"/>
      <c r="W119" s="26"/>
    </row>
    <row r="120" spans="1:23">
      <c r="A120" s="23">
        <v>45505</v>
      </c>
      <c r="B120" s="20">
        <v>80.355238095238079</v>
      </c>
      <c r="C120" s="20">
        <v>72.969407354468544</v>
      </c>
      <c r="D120" s="20">
        <f t="shared" si="18"/>
        <v>80.521063907710626</v>
      </c>
      <c r="E120" s="20"/>
      <c r="F120" s="26"/>
      <c r="H120" s="26"/>
      <c r="I120" s="26"/>
      <c r="T120" s="26"/>
      <c r="U120" s="26"/>
      <c r="V120" s="26"/>
      <c r="W120" s="26"/>
    </row>
    <row r="121" spans="1:23">
      <c r="A121" s="23">
        <v>45536</v>
      </c>
      <c r="B121" s="20">
        <v>74.016666666666666</v>
      </c>
      <c r="C121" s="20">
        <v>66.645657002221029</v>
      </c>
      <c r="D121" s="20">
        <f t="shared" si="18"/>
        <v>80.521063907710626</v>
      </c>
      <c r="E121" s="20"/>
      <c r="F121" s="26"/>
      <c r="H121" s="26"/>
      <c r="I121" s="26"/>
      <c r="T121" s="26"/>
      <c r="U121" s="26"/>
      <c r="V121" s="26"/>
      <c r="W121" s="26"/>
    </row>
    <row r="122" spans="1:23">
      <c r="A122" s="23">
        <v>45566</v>
      </c>
      <c r="B122" s="20">
        <v>75.632608695652166</v>
      </c>
      <c r="C122" s="20">
        <v>69.360047846889941</v>
      </c>
      <c r="D122" s="20">
        <f t="shared" si="18"/>
        <v>80.521063907710626</v>
      </c>
      <c r="E122" s="20"/>
      <c r="F122" s="26"/>
      <c r="H122" s="26"/>
      <c r="I122" s="26"/>
      <c r="T122" s="26"/>
      <c r="U122" s="26"/>
      <c r="V122" s="26"/>
      <c r="W122" s="26"/>
    </row>
    <row r="123" spans="1:23">
      <c r="A123" s="23">
        <v>45597</v>
      </c>
      <c r="B123" s="20">
        <v>74.345238095238102</v>
      </c>
      <c r="C123" s="20">
        <v>69.938136386645354</v>
      </c>
      <c r="D123" s="20">
        <f t="shared" si="18"/>
        <v>80.521063907710626</v>
      </c>
      <c r="E123" s="20"/>
      <c r="F123" s="26"/>
      <c r="H123" s="26"/>
      <c r="I123" s="26"/>
      <c r="T123" s="26"/>
      <c r="U123" s="26"/>
      <c r="V123" s="26"/>
      <c r="W123" s="26"/>
    </row>
    <row r="124" spans="1:23">
      <c r="A124" s="23">
        <v>45627</v>
      </c>
      <c r="B124" s="20">
        <v>73.808999999999997</v>
      </c>
      <c r="C124" s="20">
        <v>70.436836454729814</v>
      </c>
      <c r="D124" s="20">
        <f t="shared" si="18"/>
        <v>80.521063907710626</v>
      </c>
      <c r="E124" s="20"/>
      <c r="F124" s="26"/>
      <c r="H124" s="26"/>
      <c r="I124" s="26"/>
      <c r="T124" s="26"/>
      <c r="U124" s="26"/>
      <c r="V124" s="26"/>
      <c r="W124" s="26"/>
    </row>
    <row r="125" spans="1:23">
      <c r="A125" s="23">
        <v>45658</v>
      </c>
      <c r="B125" s="20">
        <v>79.270454545454541</v>
      </c>
      <c r="C125" s="20">
        <v>76.562239334100141</v>
      </c>
      <c r="D125" s="25">
        <f t="shared" ref="D125" si="19">AVERAGE(B125:B136)</f>
        <v>69.101493459439112</v>
      </c>
      <c r="E125" s="25">
        <v>140</v>
      </c>
      <c r="F125" s="26"/>
      <c r="H125" s="26"/>
      <c r="I125" s="26"/>
      <c r="T125" s="26"/>
      <c r="U125" s="26"/>
      <c r="V125" s="26"/>
      <c r="W125" s="26"/>
    </row>
    <row r="126" spans="1:23">
      <c r="A126" s="23">
        <v>45689</v>
      </c>
      <c r="B126" s="20">
        <v>75.438000000000002</v>
      </c>
      <c r="C126" s="20">
        <v>72.449459783913554</v>
      </c>
      <c r="D126" s="20">
        <f>D125</f>
        <v>69.101493459439112</v>
      </c>
      <c r="E126" s="20"/>
      <c r="F126" s="26"/>
      <c r="H126" s="26"/>
      <c r="I126" s="26"/>
      <c r="T126" s="26"/>
      <c r="U126" s="26"/>
      <c r="V126" s="26"/>
      <c r="W126" s="26"/>
    </row>
    <row r="127" spans="1:23">
      <c r="A127" s="23">
        <v>45717</v>
      </c>
      <c r="B127" s="20">
        <v>72.732857142857142</v>
      </c>
      <c r="C127" s="20">
        <v>67.302802906456691</v>
      </c>
      <c r="D127" s="20">
        <f t="shared" ref="D127:D136" si="20">D126</f>
        <v>69.101493459439112</v>
      </c>
      <c r="E127" s="20"/>
      <c r="F127" s="26"/>
      <c r="H127" s="26"/>
      <c r="I127" s="26"/>
      <c r="T127" s="26"/>
      <c r="U127" s="26"/>
      <c r="V127" s="26"/>
      <c r="W127" s="26"/>
    </row>
    <row r="128" spans="1:23">
      <c r="A128" s="23">
        <v>45748</v>
      </c>
      <c r="B128" s="20">
        <v>68.134500000000003</v>
      </c>
      <c r="C128" s="20">
        <v>60.758697871847112</v>
      </c>
      <c r="D128" s="20">
        <f t="shared" si="20"/>
        <v>69.101493459439112</v>
      </c>
      <c r="E128" s="20"/>
      <c r="F128" s="26"/>
      <c r="H128" s="26"/>
      <c r="I128" s="26"/>
      <c r="T128" s="26"/>
      <c r="U128" s="26"/>
      <c r="V128" s="26"/>
      <c r="W128" s="26"/>
    </row>
    <row r="129" spans="1:23">
      <c r="A129" s="23">
        <v>45778</v>
      </c>
      <c r="B129" s="20">
        <v>64.453000000000003</v>
      </c>
      <c r="C129" s="20">
        <v>57.127213833336022</v>
      </c>
      <c r="D129" s="20">
        <f t="shared" si="20"/>
        <v>69.101493459439112</v>
      </c>
      <c r="E129" s="20"/>
      <c r="F129" s="26"/>
      <c r="H129" s="26"/>
      <c r="I129" s="26"/>
      <c r="T129" s="26"/>
      <c r="U129" s="26"/>
      <c r="V129" s="26"/>
      <c r="W129" s="26"/>
    </row>
    <row r="130" spans="1:23">
      <c r="A130" s="23">
        <v>45809</v>
      </c>
      <c r="B130" s="20">
        <v>71.349999999999994</v>
      </c>
      <c r="C130" s="20">
        <v>61.956252067482623</v>
      </c>
      <c r="D130" s="20">
        <f t="shared" si="20"/>
        <v>69.101493459439112</v>
      </c>
      <c r="E130" s="20"/>
      <c r="F130" s="26"/>
      <c r="H130" s="26"/>
      <c r="I130" s="26"/>
      <c r="T130" s="26"/>
      <c r="U130" s="26"/>
      <c r="V130" s="26"/>
      <c r="W130" s="26"/>
    </row>
    <row r="131" spans="1:23">
      <c r="A131" s="23">
        <v>45839</v>
      </c>
      <c r="B131" s="20">
        <v>71.067391304347851</v>
      </c>
      <c r="C131" s="20">
        <v>60.861681212951673</v>
      </c>
      <c r="D131" s="20">
        <f t="shared" si="20"/>
        <v>69.101493459439112</v>
      </c>
      <c r="E131" s="20"/>
      <c r="F131" s="26"/>
      <c r="H131" s="26"/>
      <c r="I131" s="26"/>
      <c r="T131" s="26"/>
      <c r="U131" s="26"/>
      <c r="V131" s="26"/>
      <c r="W131" s="26"/>
    </row>
    <row r="132" spans="1:23">
      <c r="A132" s="23">
        <v>45870</v>
      </c>
      <c r="B132" s="20">
        <v>67.87</v>
      </c>
      <c r="C132" s="20">
        <v>58.35052812576761</v>
      </c>
      <c r="D132" s="20">
        <f t="shared" si="20"/>
        <v>69.101493459439112</v>
      </c>
      <c r="E132" s="20"/>
      <c r="F132" s="26"/>
      <c r="H132" s="26"/>
      <c r="I132" s="26"/>
      <c r="T132" s="26"/>
      <c r="U132" s="26"/>
      <c r="V132" s="26"/>
      <c r="W132" s="26"/>
    </row>
    <row r="133" spans="1:23">
      <c r="A133" s="23">
        <v>45901</v>
      </c>
      <c r="B133" s="20">
        <v>67.985454545454559</v>
      </c>
      <c r="C133" s="20">
        <v>57.947611280505527</v>
      </c>
      <c r="D133" s="20">
        <f t="shared" si="20"/>
        <v>69.101493459439112</v>
      </c>
      <c r="E133" s="20"/>
      <c r="F133" s="26"/>
      <c r="H133" s="26"/>
      <c r="I133" s="26"/>
      <c r="T133" s="26"/>
      <c r="U133" s="26"/>
      <c r="V133" s="26"/>
      <c r="W133" s="26"/>
    </row>
    <row r="134" spans="1:23">
      <c r="A134" s="23">
        <v>45931</v>
      </c>
      <c r="B134" s="20">
        <v>64.543478260869563</v>
      </c>
      <c r="C134" s="20">
        <v>55.495327102803735</v>
      </c>
      <c r="D134" s="20">
        <f t="shared" si="20"/>
        <v>69.101493459439112</v>
      </c>
      <c r="E134" s="20"/>
      <c r="F134" s="26"/>
      <c r="H134" s="26"/>
      <c r="I134" s="26"/>
      <c r="T134" s="26"/>
      <c r="U134" s="26"/>
      <c r="V134" s="26"/>
      <c r="W134" s="26"/>
    </row>
    <row r="135" spans="1:23">
      <c r="A135" s="23">
        <v>45962</v>
      </c>
      <c r="B135" s="20">
        <v>63.828499999999984</v>
      </c>
      <c r="C135" s="20">
        <v>55.214010138232887</v>
      </c>
      <c r="D135" s="20">
        <f t="shared" si="20"/>
        <v>69.101493459439112</v>
      </c>
      <c r="E135" s="20"/>
      <c r="F135" s="26"/>
      <c r="H135" s="26"/>
      <c r="I135" s="26"/>
      <c r="T135" s="26"/>
      <c r="U135" s="26"/>
      <c r="V135" s="26"/>
      <c r="W135" s="26"/>
    </row>
    <row r="136" spans="1:23">
      <c r="A136" s="23">
        <v>45992</v>
      </c>
      <c r="B136" s="20">
        <v>62.544285714285706</v>
      </c>
      <c r="C136" s="20">
        <v>53.416868998670104</v>
      </c>
      <c r="D136" s="20">
        <f t="shared" si="20"/>
        <v>69.101493459439112</v>
      </c>
      <c r="E136" s="20"/>
      <c r="F136" s="26"/>
      <c r="H136" s="26"/>
      <c r="I136" s="26"/>
      <c r="T136" s="26"/>
      <c r="U136" s="26"/>
      <c r="V136" s="26"/>
      <c r="W136" s="26"/>
    </row>
    <row r="137" spans="1:23">
      <c r="A137" s="23">
        <v>46023</v>
      </c>
      <c r="B137" s="20">
        <v>66.602380952380969</v>
      </c>
      <c r="C137" s="20">
        <v>56.739674567855168</v>
      </c>
      <c r="D137" s="25"/>
      <c r="E137" s="25">
        <v>140</v>
      </c>
      <c r="F137" s="25"/>
      <c r="G137" s="25"/>
      <c r="H137" s="26"/>
      <c r="I137" s="26"/>
      <c r="T137" s="26"/>
      <c r="U137" s="26"/>
      <c r="V137" s="26"/>
      <c r="W137" s="26"/>
    </row>
    <row r="138" spans="1:23">
      <c r="A138" s="23">
        <v>46054</v>
      </c>
      <c r="B138" s="20">
        <v>70.887000000000015</v>
      </c>
      <c r="C138" s="20">
        <v>59.952046481928633</v>
      </c>
      <c r="H138" s="26"/>
      <c r="I138" s="26"/>
      <c r="T138" s="26"/>
      <c r="U138" s="26"/>
      <c r="V138" s="26"/>
      <c r="W138" s="26"/>
    </row>
    <row r="139" spans="1:23">
      <c r="A139" s="23">
        <v>46082</v>
      </c>
      <c r="B139" s="20">
        <v>103.13454545454547</v>
      </c>
      <c r="C139" s="20">
        <v>89.229716496973865</v>
      </c>
      <c r="H139" s="26"/>
      <c r="I139" s="26"/>
      <c r="T139" s="26"/>
      <c r="U139" s="26"/>
      <c r="V139" s="26"/>
      <c r="W139" s="26"/>
    </row>
    <row r="140" spans="1:23">
      <c r="A140" s="23">
        <v>46113</v>
      </c>
      <c r="B140" s="20">
        <v>117.28749999999999</v>
      </c>
      <c r="C140" s="20">
        <v>100.19092120549442</v>
      </c>
      <c r="H140" s="26"/>
      <c r="I140" s="26"/>
      <c r="T140" s="26"/>
      <c r="U140" s="26"/>
      <c r="V140" s="26"/>
      <c r="W140" s="26"/>
    </row>
    <row r="141" spans="1:23">
      <c r="D141" s="25"/>
      <c r="E141" s="25"/>
      <c r="H141" s="26"/>
      <c r="I141" s="26"/>
      <c r="T141" s="26"/>
      <c r="U141" s="26"/>
      <c r="V141" s="26"/>
      <c r="W141" s="26"/>
    </row>
    <row r="142" spans="1:23">
      <c r="D142" s="25"/>
      <c r="E142" s="25"/>
      <c r="H142" s="26"/>
      <c r="I142" s="26"/>
      <c r="T142" s="26"/>
      <c r="U142" s="26"/>
      <c r="V142" s="26"/>
      <c r="W142" s="26"/>
    </row>
    <row r="143" spans="1:23">
      <c r="D143" s="25"/>
      <c r="E143" s="25"/>
      <c r="H143" s="26"/>
      <c r="I143" s="26"/>
      <c r="T143" s="26"/>
      <c r="U143" s="26"/>
      <c r="V143" s="26"/>
      <c r="W143" s="26"/>
    </row>
    <row r="144" spans="1:23">
      <c r="D144" s="25"/>
      <c r="E144" s="25"/>
      <c r="H144" s="26"/>
      <c r="I144" s="26"/>
      <c r="T144" s="26"/>
      <c r="U144" s="26"/>
      <c r="V144" s="26"/>
      <c r="W144" s="26"/>
    </row>
    <row r="145" spans="4:23">
      <c r="D145" s="25"/>
      <c r="E145" s="25"/>
      <c r="H145" s="26"/>
      <c r="I145" s="26"/>
      <c r="T145" s="26"/>
      <c r="U145" s="26"/>
      <c r="V145" s="26"/>
      <c r="W145" s="26"/>
    </row>
    <row r="146" spans="4:23">
      <c r="D146" s="25"/>
      <c r="E146" s="25"/>
      <c r="H146" s="26"/>
      <c r="I146" s="26"/>
      <c r="T146" s="26"/>
      <c r="U146" s="26"/>
      <c r="V146" s="26"/>
      <c r="W146" s="26"/>
    </row>
    <row r="147" spans="4:23">
      <c r="D147" s="25"/>
      <c r="E147" s="25"/>
      <c r="H147" s="26"/>
      <c r="I147" s="26"/>
      <c r="T147" s="26"/>
      <c r="U147" s="26"/>
      <c r="V147" s="26"/>
      <c r="W147" s="26"/>
    </row>
    <row r="148" spans="4:23">
      <c r="D148" s="25"/>
      <c r="E148" s="25"/>
      <c r="H148" s="26"/>
      <c r="I148" s="26"/>
      <c r="T148" s="26"/>
      <c r="U148" s="26"/>
      <c r="V148" s="26"/>
      <c r="W148" s="26"/>
    </row>
    <row r="149" spans="4:23">
      <c r="D149" s="25"/>
      <c r="E149" s="25"/>
      <c r="F149" s="25"/>
      <c r="G149" s="25"/>
      <c r="H149" s="26"/>
      <c r="I149" s="26"/>
      <c r="T149" s="26"/>
      <c r="U149" s="26"/>
      <c r="V149" s="26"/>
      <c r="W149" s="26"/>
    </row>
    <row r="150" spans="4:23">
      <c r="D150" s="25"/>
      <c r="E150" s="25"/>
      <c r="H150" s="26"/>
      <c r="I150" s="26"/>
      <c r="T150" s="26"/>
      <c r="U150" s="26"/>
      <c r="V150" s="26"/>
      <c r="W150" s="26"/>
    </row>
    <row r="151" spans="4:23">
      <c r="D151" s="25"/>
      <c r="E151" s="25"/>
      <c r="H151" s="26"/>
      <c r="I151" s="26"/>
      <c r="T151" s="26"/>
      <c r="U151" s="26"/>
      <c r="V151" s="26"/>
      <c r="W151" s="26"/>
    </row>
    <row r="152" spans="4:23">
      <c r="D152" s="25"/>
      <c r="E152" s="25"/>
      <c r="H152" s="26"/>
      <c r="I152" s="26"/>
      <c r="T152" s="26"/>
      <c r="U152" s="26"/>
      <c r="V152" s="26"/>
      <c r="W152" s="26"/>
    </row>
    <row r="153" spans="4:23">
      <c r="D153" s="25"/>
      <c r="E153" s="25"/>
      <c r="H153" s="26"/>
      <c r="I153" s="26"/>
      <c r="T153" s="26"/>
      <c r="U153" s="26"/>
      <c r="V153" s="26"/>
      <c r="W153" s="26"/>
    </row>
    <row r="154" spans="4:23">
      <c r="D154" s="25"/>
      <c r="E154" s="25"/>
      <c r="H154" s="26"/>
      <c r="I154" s="26"/>
      <c r="T154" s="26"/>
      <c r="U154" s="26"/>
      <c r="V154" s="26"/>
      <c r="W154" s="26"/>
    </row>
    <row r="155" spans="4:23">
      <c r="D155" s="25"/>
      <c r="E155" s="25"/>
      <c r="H155" s="26"/>
      <c r="I155" s="26"/>
      <c r="T155" s="26"/>
      <c r="U155" s="26"/>
      <c r="V155" s="26"/>
      <c r="W155" s="26"/>
    </row>
    <row r="156" spans="4:23">
      <c r="D156" s="25"/>
      <c r="E156" s="25"/>
      <c r="H156" s="26"/>
      <c r="I156" s="26"/>
      <c r="T156" s="26"/>
      <c r="U156" s="26"/>
      <c r="V156" s="26"/>
      <c r="W156" s="26"/>
    </row>
    <row r="157" spans="4:23">
      <c r="D157" s="25"/>
      <c r="E157" s="25"/>
      <c r="H157" s="26"/>
      <c r="I157" s="26"/>
      <c r="T157" s="26"/>
      <c r="U157" s="26"/>
      <c r="V157" s="26"/>
      <c r="W157" s="26"/>
    </row>
    <row r="158" spans="4:23">
      <c r="D158" s="25"/>
      <c r="E158" s="25"/>
      <c r="H158" s="26"/>
      <c r="I158" s="26"/>
      <c r="T158" s="26"/>
      <c r="U158" s="26"/>
      <c r="V158" s="26"/>
      <c r="W158" s="26"/>
    </row>
    <row r="159" spans="4:23">
      <c r="D159" s="25"/>
      <c r="E159" s="25"/>
      <c r="H159" s="26"/>
      <c r="I159" s="26"/>
      <c r="T159" s="26"/>
      <c r="U159" s="26"/>
      <c r="V159" s="26"/>
      <c r="W159" s="26"/>
    </row>
    <row r="160" spans="4:23">
      <c r="D160" s="25"/>
      <c r="E160" s="25"/>
      <c r="H160" s="26"/>
      <c r="I160" s="26"/>
      <c r="T160" s="26"/>
      <c r="U160" s="26"/>
      <c r="V160" s="26"/>
      <c r="W160" s="26"/>
    </row>
    <row r="161" spans="4:23">
      <c r="D161" s="25"/>
      <c r="E161" s="25"/>
      <c r="F161" s="25"/>
      <c r="G161" s="25"/>
      <c r="H161" s="26"/>
      <c r="I161" s="26"/>
      <c r="T161" s="26"/>
      <c r="U161" s="26"/>
      <c r="V161" s="26"/>
      <c r="W161" s="26"/>
    </row>
    <row r="162" spans="4:23">
      <c r="D162" s="25"/>
      <c r="E162" s="25"/>
      <c r="H162" s="26"/>
      <c r="I162" s="26"/>
      <c r="T162" s="26"/>
      <c r="U162" s="26"/>
      <c r="V162" s="26"/>
      <c r="W162" s="26"/>
    </row>
    <row r="163" spans="4:23">
      <c r="D163" s="25"/>
      <c r="E163" s="25"/>
      <c r="H163" s="26"/>
      <c r="I163" s="26"/>
      <c r="T163" s="26"/>
      <c r="U163" s="26"/>
      <c r="V163" s="26"/>
      <c r="W163" s="26"/>
    </row>
    <row r="164" spans="4:23">
      <c r="D164" s="25"/>
      <c r="E164" s="25"/>
      <c r="H164" s="26"/>
      <c r="I164" s="26"/>
      <c r="T164" s="26"/>
      <c r="U164" s="26"/>
      <c r="V164" s="26"/>
      <c r="W164" s="26"/>
    </row>
    <row r="165" spans="4:23">
      <c r="D165" s="25"/>
      <c r="E165" s="25"/>
      <c r="H165" s="26"/>
      <c r="I165" s="26"/>
      <c r="T165" s="26"/>
      <c r="U165" s="26"/>
      <c r="V165" s="26"/>
      <c r="W165" s="26"/>
    </row>
    <row r="166" spans="4:23">
      <c r="D166" s="25"/>
      <c r="E166" s="25"/>
      <c r="H166" s="26"/>
      <c r="I166" s="26"/>
      <c r="T166" s="26"/>
      <c r="U166" s="26"/>
      <c r="V166" s="26"/>
      <c r="W166" s="26"/>
    </row>
    <row r="167" spans="4:23">
      <c r="D167" s="25"/>
      <c r="E167" s="25"/>
      <c r="H167" s="26"/>
      <c r="I167" s="26"/>
      <c r="T167" s="26"/>
      <c r="U167" s="26"/>
      <c r="V167" s="26"/>
      <c r="W167" s="26"/>
    </row>
    <row r="168" spans="4:23">
      <c r="D168" s="25"/>
      <c r="E168" s="25"/>
      <c r="H168" s="26"/>
      <c r="I168" s="26"/>
      <c r="T168" s="26"/>
      <c r="U168" s="26"/>
      <c r="V168" s="26"/>
      <c r="W168" s="26"/>
    </row>
    <row r="169" spans="4:23">
      <c r="D169" s="25"/>
      <c r="E169" s="25"/>
      <c r="H169" s="26"/>
      <c r="I169" s="26"/>
      <c r="T169" s="26"/>
      <c r="U169" s="26"/>
      <c r="V169" s="26"/>
      <c r="W169" s="26"/>
    </row>
    <row r="170" spans="4:23">
      <c r="D170" s="25"/>
      <c r="E170" s="25"/>
      <c r="H170" s="26"/>
      <c r="I170" s="26"/>
      <c r="T170" s="26"/>
      <c r="U170" s="26"/>
      <c r="V170" s="26"/>
      <c r="W170" s="26"/>
    </row>
    <row r="171" spans="4:23">
      <c r="D171" s="25"/>
      <c r="E171" s="25"/>
      <c r="H171" s="26"/>
      <c r="I171" s="26"/>
      <c r="T171" s="26"/>
      <c r="U171" s="26"/>
      <c r="V171" s="26"/>
      <c r="W171" s="26"/>
    </row>
    <row r="172" spans="4:23">
      <c r="D172" s="25"/>
      <c r="E172" s="25"/>
      <c r="H172" s="26"/>
      <c r="I172" s="26"/>
      <c r="T172" s="26"/>
      <c r="U172" s="26"/>
      <c r="V172" s="26"/>
      <c r="W172" s="26"/>
    </row>
    <row r="173" spans="4:23">
      <c r="D173" s="25"/>
      <c r="E173" s="25"/>
      <c r="F173" s="25"/>
      <c r="G173" s="25"/>
      <c r="H173" s="26"/>
      <c r="I173" s="26"/>
      <c r="T173" s="26"/>
      <c r="U173" s="26"/>
      <c r="V173" s="26"/>
      <c r="W173" s="26"/>
    </row>
    <row r="174" spans="4:23">
      <c r="D174" s="25"/>
      <c r="E174" s="25"/>
      <c r="H174" s="26"/>
      <c r="I174" s="26"/>
      <c r="T174" s="26"/>
      <c r="U174" s="26"/>
      <c r="V174" s="26"/>
      <c r="W174" s="26"/>
    </row>
    <row r="175" spans="4:23">
      <c r="D175" s="25"/>
      <c r="E175" s="25"/>
      <c r="H175" s="26"/>
      <c r="I175" s="26"/>
      <c r="T175" s="26"/>
      <c r="U175" s="26"/>
      <c r="V175" s="26"/>
      <c r="W175" s="26"/>
    </row>
    <row r="176" spans="4:23">
      <c r="D176" s="25"/>
      <c r="E176" s="25"/>
      <c r="H176" s="26"/>
      <c r="I176" s="26"/>
      <c r="T176" s="26"/>
      <c r="U176" s="26"/>
      <c r="V176" s="26"/>
      <c r="W176" s="26"/>
    </row>
    <row r="177" spans="4:23">
      <c r="D177" s="25"/>
      <c r="E177" s="25"/>
      <c r="H177" s="26"/>
      <c r="I177" s="26"/>
      <c r="T177" s="26"/>
      <c r="U177" s="26"/>
      <c r="V177" s="26"/>
      <c r="W177" s="26"/>
    </row>
    <row r="178" spans="4:23">
      <c r="D178" s="25"/>
      <c r="E178" s="25"/>
      <c r="H178" s="26"/>
      <c r="I178" s="26"/>
      <c r="T178" s="26"/>
      <c r="U178" s="26"/>
      <c r="V178" s="26"/>
      <c r="W178" s="26"/>
    </row>
    <row r="179" spans="4:23">
      <c r="D179" s="25"/>
      <c r="E179" s="25"/>
      <c r="H179" s="26"/>
      <c r="I179" s="26"/>
      <c r="T179" s="26"/>
      <c r="U179" s="26"/>
      <c r="V179" s="26"/>
      <c r="W179" s="26"/>
    </row>
    <row r="180" spans="4:23">
      <c r="D180" s="25"/>
      <c r="E180" s="25"/>
      <c r="H180" s="26"/>
      <c r="I180" s="26"/>
      <c r="T180" s="26"/>
      <c r="U180" s="26"/>
      <c r="V180" s="26"/>
      <c r="W180" s="26"/>
    </row>
    <row r="181" spans="4:23">
      <c r="D181" s="25"/>
      <c r="E181" s="25"/>
      <c r="H181" s="26"/>
      <c r="I181" s="26"/>
      <c r="T181" s="26"/>
      <c r="U181" s="26"/>
      <c r="V181" s="26"/>
      <c r="W181" s="26"/>
    </row>
    <row r="182" spans="4:23">
      <c r="D182" s="25"/>
      <c r="E182" s="25"/>
      <c r="H182" s="26"/>
      <c r="I182" s="26"/>
      <c r="T182" s="26"/>
      <c r="U182" s="26"/>
      <c r="V182" s="26"/>
      <c r="W182" s="26"/>
    </row>
    <row r="183" spans="4:23">
      <c r="D183" s="25"/>
      <c r="E183" s="25"/>
      <c r="H183" s="26"/>
      <c r="I183" s="26"/>
      <c r="T183" s="26"/>
      <c r="U183" s="26"/>
      <c r="V183" s="26"/>
      <c r="W183" s="26"/>
    </row>
    <row r="184" spans="4:23">
      <c r="D184" s="25"/>
      <c r="E184" s="25"/>
      <c r="H184" s="26"/>
      <c r="I184" s="26"/>
      <c r="T184" s="26"/>
      <c r="U184" s="26"/>
      <c r="V184" s="26"/>
      <c r="W184" s="26"/>
    </row>
    <row r="185" spans="4:23">
      <c r="D185" s="25"/>
      <c r="E185" s="25"/>
      <c r="F185" s="25"/>
      <c r="G185" s="25"/>
      <c r="H185" s="26"/>
      <c r="I185" s="26"/>
      <c r="T185" s="26"/>
      <c r="U185" s="26"/>
      <c r="V185" s="26"/>
      <c r="W185" s="26"/>
    </row>
    <row r="186" spans="4:23">
      <c r="D186" s="25"/>
      <c r="E186" s="25"/>
      <c r="H186" s="26"/>
      <c r="I186" s="26"/>
      <c r="T186" s="26"/>
      <c r="U186" s="26"/>
      <c r="V186" s="26"/>
      <c r="W186" s="26"/>
    </row>
    <row r="187" spans="4:23">
      <c r="D187" s="25"/>
      <c r="E187" s="25"/>
      <c r="H187" s="26"/>
      <c r="I187" s="26"/>
      <c r="T187" s="26"/>
      <c r="U187" s="26"/>
      <c r="V187" s="26"/>
      <c r="W187" s="26"/>
    </row>
    <row r="188" spans="4:23">
      <c r="D188" s="25"/>
      <c r="E188" s="25"/>
      <c r="H188" s="26"/>
      <c r="I188" s="26"/>
      <c r="T188" s="26"/>
      <c r="U188" s="26"/>
      <c r="V188" s="26"/>
      <c r="W188" s="26"/>
    </row>
    <row r="189" spans="4:23">
      <c r="D189" s="25"/>
      <c r="E189" s="25"/>
      <c r="H189" s="26"/>
      <c r="I189" s="26"/>
      <c r="T189" s="26"/>
      <c r="U189" s="26"/>
      <c r="V189" s="26"/>
      <c r="W189" s="26"/>
    </row>
    <row r="190" spans="4:23">
      <c r="D190" s="25"/>
      <c r="E190" s="25"/>
      <c r="H190" s="26"/>
      <c r="I190" s="26"/>
      <c r="T190" s="26"/>
      <c r="U190" s="26"/>
      <c r="V190" s="26"/>
      <c r="W190" s="26"/>
    </row>
    <row r="191" spans="4:23">
      <c r="D191" s="25"/>
      <c r="E191" s="25"/>
      <c r="H191" s="26"/>
      <c r="I191" s="26"/>
      <c r="T191" s="26"/>
      <c r="U191" s="26"/>
      <c r="V191" s="26"/>
      <c r="W191" s="26"/>
    </row>
    <row r="192" spans="4:23">
      <c r="D192" s="25"/>
      <c r="E192" s="25"/>
      <c r="H192" s="26"/>
      <c r="I192" s="26"/>
      <c r="T192" s="26"/>
      <c r="U192" s="26"/>
      <c r="V192" s="26"/>
      <c r="W192" s="26"/>
    </row>
    <row r="193" spans="4:23">
      <c r="D193" s="25"/>
      <c r="E193" s="25"/>
      <c r="H193" s="26"/>
      <c r="I193" s="26"/>
      <c r="T193" s="26"/>
      <c r="U193" s="26"/>
      <c r="V193" s="26"/>
      <c r="W193" s="26"/>
    </row>
    <row r="194" spans="4:23">
      <c r="D194" s="25"/>
      <c r="E194" s="25"/>
      <c r="H194" s="26"/>
      <c r="I194" s="26"/>
      <c r="T194" s="26"/>
      <c r="U194" s="26"/>
      <c r="V194" s="26"/>
      <c r="W194" s="26"/>
    </row>
    <row r="195" spans="4:23">
      <c r="D195" s="25"/>
      <c r="E195" s="25"/>
      <c r="H195" s="26"/>
      <c r="I195" s="26"/>
      <c r="T195" s="26"/>
      <c r="U195" s="26"/>
      <c r="V195" s="26"/>
      <c r="W195" s="26"/>
    </row>
    <row r="196" spans="4:23">
      <c r="D196" s="25"/>
      <c r="E196" s="25"/>
      <c r="H196" s="26"/>
      <c r="I196" s="26"/>
      <c r="T196" s="26"/>
      <c r="U196" s="26"/>
      <c r="V196" s="26"/>
      <c r="W196" s="26"/>
    </row>
    <row r="197" spans="4:23">
      <c r="D197" s="25"/>
      <c r="E197" s="25"/>
      <c r="F197" s="25"/>
      <c r="G197" s="25"/>
      <c r="H197" s="26"/>
      <c r="I197" s="26"/>
      <c r="T197" s="26"/>
      <c r="U197" s="26"/>
      <c r="V197" s="26"/>
      <c r="W197" s="26"/>
    </row>
    <row r="198" spans="4:23">
      <c r="D198" s="25"/>
      <c r="E198" s="25"/>
      <c r="H198" s="26"/>
      <c r="I198" s="26"/>
      <c r="T198" s="26"/>
      <c r="U198" s="26"/>
      <c r="V198" s="26"/>
      <c r="W198" s="26"/>
    </row>
    <row r="199" spans="4:23">
      <c r="D199" s="25"/>
      <c r="E199" s="25"/>
      <c r="H199" s="26"/>
      <c r="I199" s="26"/>
      <c r="T199" s="26"/>
      <c r="U199" s="26"/>
      <c r="V199" s="26"/>
      <c r="W199" s="26"/>
    </row>
    <row r="200" spans="4:23">
      <c r="D200" s="25"/>
      <c r="E200" s="25"/>
      <c r="H200" s="26"/>
      <c r="I200" s="26"/>
      <c r="T200" s="26"/>
      <c r="U200" s="26"/>
      <c r="V200" s="26"/>
      <c r="W200" s="26"/>
    </row>
    <row r="201" spans="4:23">
      <c r="D201" s="25"/>
      <c r="E201" s="25"/>
      <c r="H201" s="26"/>
      <c r="I201" s="26"/>
      <c r="T201" s="26"/>
      <c r="U201" s="26"/>
      <c r="V201" s="26"/>
      <c r="W201" s="26"/>
    </row>
    <row r="202" spans="4:23">
      <c r="D202" s="25"/>
      <c r="E202" s="25"/>
      <c r="H202" s="26"/>
      <c r="I202" s="26"/>
      <c r="T202" s="26"/>
      <c r="U202" s="26"/>
      <c r="V202" s="26"/>
      <c r="W202" s="26"/>
    </row>
    <row r="203" spans="4:23">
      <c r="D203" s="25"/>
      <c r="E203" s="25"/>
      <c r="H203" s="26"/>
      <c r="I203" s="26"/>
      <c r="T203" s="26"/>
      <c r="U203" s="26"/>
      <c r="V203" s="26"/>
      <c r="W203" s="26"/>
    </row>
    <row r="204" spans="4:23">
      <c r="D204" s="25"/>
      <c r="E204" s="25"/>
      <c r="H204" s="26"/>
      <c r="I204" s="26"/>
      <c r="T204" s="26"/>
      <c r="U204" s="26"/>
      <c r="V204" s="26"/>
      <c r="W204" s="26"/>
    </row>
    <row r="205" spans="4:23">
      <c r="D205" s="25"/>
      <c r="E205" s="25"/>
      <c r="H205" s="26"/>
      <c r="I205" s="26"/>
      <c r="T205" s="26"/>
      <c r="U205" s="26"/>
      <c r="V205" s="26"/>
      <c r="W205" s="26"/>
    </row>
    <row r="206" spans="4:23">
      <c r="D206" s="25"/>
      <c r="E206" s="25"/>
      <c r="H206" s="26"/>
      <c r="I206" s="26"/>
      <c r="T206" s="26"/>
      <c r="U206" s="26"/>
      <c r="V206" s="26"/>
      <c r="W206" s="26"/>
    </row>
    <row r="207" spans="4:23">
      <c r="D207" s="25"/>
      <c r="E207" s="25"/>
      <c r="H207" s="26"/>
      <c r="I207" s="26"/>
      <c r="T207" s="26"/>
      <c r="U207" s="26"/>
      <c r="V207" s="26"/>
      <c r="W207" s="26"/>
    </row>
    <row r="208" spans="4:23">
      <c r="D208" s="25"/>
      <c r="E208" s="25"/>
      <c r="H208" s="26"/>
      <c r="I208" s="26"/>
      <c r="T208" s="26"/>
      <c r="U208" s="26"/>
      <c r="V208" s="26"/>
      <c r="W208" s="26"/>
    </row>
    <row r="209" spans="4:23">
      <c r="D209" s="25"/>
      <c r="E209" s="25"/>
      <c r="F209" s="25"/>
      <c r="G209" s="25"/>
      <c r="H209" s="26"/>
      <c r="I209" s="26"/>
      <c r="T209" s="26"/>
      <c r="U209" s="26"/>
      <c r="V209" s="26"/>
      <c r="W209" s="26"/>
    </row>
    <row r="210" spans="4:23">
      <c r="D210" s="25"/>
      <c r="E210" s="25"/>
      <c r="H210" s="26"/>
      <c r="I210" s="26"/>
      <c r="T210" s="26"/>
      <c r="U210" s="26"/>
      <c r="V210" s="26"/>
      <c r="W210" s="26"/>
    </row>
    <row r="211" spans="4:23">
      <c r="D211" s="25"/>
      <c r="E211" s="25"/>
      <c r="H211" s="26"/>
      <c r="I211" s="26"/>
      <c r="T211" s="26"/>
      <c r="U211" s="26"/>
      <c r="V211" s="26"/>
      <c r="W211" s="26"/>
    </row>
    <row r="212" spans="4:23">
      <c r="D212" s="25"/>
      <c r="E212" s="25"/>
      <c r="H212" s="26"/>
      <c r="I212" s="26"/>
      <c r="T212" s="26"/>
      <c r="U212" s="26"/>
      <c r="V212" s="26"/>
      <c r="W212" s="26"/>
    </row>
    <row r="213" spans="4:23">
      <c r="D213" s="25"/>
      <c r="E213" s="25"/>
      <c r="H213" s="26"/>
      <c r="I213" s="26"/>
      <c r="T213" s="26"/>
      <c r="U213" s="26"/>
      <c r="V213" s="26"/>
      <c r="W213" s="26"/>
    </row>
    <row r="214" spans="4:23">
      <c r="D214" s="25"/>
      <c r="E214" s="25"/>
      <c r="H214" s="26"/>
      <c r="I214" s="26"/>
      <c r="T214" s="26"/>
      <c r="U214" s="26"/>
      <c r="V214" s="26"/>
      <c r="W214" s="26"/>
    </row>
    <row r="215" spans="4:23">
      <c r="D215" s="25"/>
      <c r="E215" s="25"/>
      <c r="H215" s="26"/>
      <c r="I215" s="26"/>
      <c r="T215" s="26"/>
      <c r="U215" s="26"/>
      <c r="V215" s="26"/>
      <c r="W215" s="26"/>
    </row>
    <row r="216" spans="4:23">
      <c r="D216" s="25"/>
      <c r="E216" s="25"/>
      <c r="H216" s="26"/>
      <c r="I216" s="26"/>
      <c r="T216" s="26"/>
      <c r="U216" s="26"/>
      <c r="V216" s="26"/>
      <c r="W216" s="26"/>
    </row>
    <row r="217" spans="4:23">
      <c r="D217" s="25"/>
      <c r="E217" s="25"/>
      <c r="H217" s="26"/>
      <c r="I217" s="26"/>
      <c r="T217" s="26"/>
      <c r="U217" s="26"/>
      <c r="V217" s="26"/>
      <c r="W217" s="26"/>
    </row>
    <row r="218" spans="4:23">
      <c r="D218" s="25"/>
      <c r="E218" s="25"/>
      <c r="H218" s="26"/>
      <c r="I218" s="26"/>
      <c r="T218" s="26"/>
      <c r="U218" s="26"/>
      <c r="V218" s="26"/>
      <c r="W218" s="26"/>
    </row>
    <row r="219" spans="4:23">
      <c r="D219" s="25"/>
      <c r="E219" s="25"/>
      <c r="H219" s="26"/>
      <c r="I219" s="26"/>
      <c r="T219" s="26"/>
      <c r="U219" s="26"/>
      <c r="V219" s="26"/>
      <c r="W219" s="26"/>
    </row>
    <row r="220" spans="4:23">
      <c r="D220" s="25"/>
      <c r="E220" s="25"/>
      <c r="H220" s="26"/>
      <c r="I220" s="26"/>
      <c r="T220" s="26"/>
      <c r="U220" s="26"/>
      <c r="V220" s="26"/>
      <c r="W220" s="26"/>
    </row>
    <row r="221" spans="4:23">
      <c r="D221" s="25"/>
      <c r="E221" s="25"/>
      <c r="F221" s="25"/>
      <c r="G221" s="25"/>
      <c r="H221" s="26"/>
      <c r="I221" s="29"/>
      <c r="J221" s="29"/>
      <c r="T221" s="26"/>
      <c r="U221" s="26"/>
      <c r="V221" s="26"/>
      <c r="W221" s="26"/>
    </row>
    <row r="222" spans="4:23">
      <c r="D222" s="25"/>
      <c r="E222" s="25"/>
      <c r="F222" s="30"/>
      <c r="G222" s="30"/>
      <c r="H222" s="26"/>
      <c r="I222" s="26"/>
      <c r="T222" s="26"/>
      <c r="U222" s="26"/>
      <c r="V222" s="26"/>
      <c r="W222" s="26"/>
    </row>
    <row r="223" spans="4:23">
      <c r="D223" s="25"/>
      <c r="E223" s="25"/>
      <c r="H223" s="26"/>
      <c r="I223" s="26"/>
      <c r="T223" s="26"/>
      <c r="U223" s="26"/>
      <c r="V223" s="26"/>
      <c r="W223" s="26"/>
    </row>
    <row r="224" spans="4:23">
      <c r="D224" s="25"/>
      <c r="E224" s="25"/>
      <c r="H224" s="26"/>
      <c r="I224" s="26"/>
      <c r="T224" s="26"/>
      <c r="U224" s="26"/>
      <c r="V224" s="26"/>
      <c r="W224" s="26"/>
    </row>
    <row r="225" spans="4:23">
      <c r="D225" s="25"/>
      <c r="E225" s="25"/>
      <c r="H225" s="26"/>
      <c r="I225" s="26"/>
      <c r="T225" s="26"/>
      <c r="U225" s="26"/>
      <c r="V225" s="26"/>
      <c r="W225" s="26"/>
    </row>
    <row r="226" spans="4:23">
      <c r="D226" s="25"/>
      <c r="E226" s="25"/>
      <c r="H226" s="26"/>
      <c r="I226" s="26"/>
      <c r="T226" s="26"/>
      <c r="U226" s="26"/>
      <c r="V226" s="26"/>
      <c r="W226" s="26"/>
    </row>
    <row r="227" spans="4:23">
      <c r="D227" s="25"/>
      <c r="E227" s="25"/>
      <c r="H227" s="26"/>
      <c r="I227" s="26"/>
      <c r="T227" s="26"/>
      <c r="U227" s="26"/>
      <c r="V227" s="26"/>
      <c r="W227" s="26"/>
    </row>
    <row r="228" spans="4:23">
      <c r="D228" s="25"/>
      <c r="E228" s="25"/>
      <c r="H228" s="26"/>
      <c r="I228" s="26"/>
      <c r="T228" s="26"/>
      <c r="U228" s="26"/>
      <c r="V228" s="26"/>
      <c r="W228" s="26"/>
    </row>
    <row r="229" spans="4:23">
      <c r="D229" s="25"/>
      <c r="E229" s="25"/>
      <c r="H229" s="26"/>
      <c r="I229" s="26"/>
      <c r="T229" s="26"/>
      <c r="U229" s="26"/>
      <c r="V229" s="26"/>
      <c r="W229" s="26"/>
    </row>
    <row r="230" spans="4:23">
      <c r="D230" s="25"/>
      <c r="E230" s="25"/>
      <c r="H230" s="26"/>
      <c r="I230" s="26"/>
      <c r="T230" s="26"/>
      <c r="U230" s="26"/>
      <c r="V230" s="26"/>
      <c r="W230" s="26"/>
    </row>
    <row r="231" spans="4:23">
      <c r="D231" s="25"/>
      <c r="E231" s="25"/>
      <c r="H231" s="26"/>
      <c r="I231" s="26"/>
      <c r="T231" s="26"/>
      <c r="U231" s="26"/>
      <c r="V231" s="26"/>
      <c r="W231" s="26"/>
    </row>
    <row r="232" spans="4:23">
      <c r="D232" s="25"/>
      <c r="E232" s="25"/>
      <c r="H232" s="26"/>
      <c r="I232" s="26"/>
      <c r="T232" s="26"/>
      <c r="U232" s="26"/>
      <c r="V232" s="26"/>
      <c r="W232" s="26"/>
    </row>
    <row r="233" spans="4:23">
      <c r="D233" s="25"/>
      <c r="E233" s="25"/>
      <c r="F233" s="25"/>
      <c r="G233" s="25"/>
      <c r="H233" s="26"/>
      <c r="I233" s="29"/>
      <c r="J233" s="29"/>
      <c r="T233" s="26"/>
      <c r="U233" s="26"/>
      <c r="V233" s="26"/>
      <c r="W233" s="26"/>
    </row>
    <row r="234" spans="4:23">
      <c r="D234" s="25"/>
      <c r="E234" s="25"/>
      <c r="F234" s="30"/>
      <c r="G234" s="30"/>
      <c r="H234" s="26"/>
      <c r="I234" s="26"/>
      <c r="T234" s="26"/>
      <c r="U234" s="26"/>
      <c r="V234" s="26"/>
      <c r="W234" s="26"/>
    </row>
    <row r="235" spans="4:23">
      <c r="D235" s="25"/>
      <c r="E235" s="25"/>
      <c r="H235" s="26"/>
      <c r="I235" s="26"/>
      <c r="T235" s="26"/>
      <c r="U235" s="26"/>
      <c r="V235" s="26"/>
      <c r="W235" s="26"/>
    </row>
    <row r="236" spans="4:23">
      <c r="D236" s="25"/>
      <c r="E236" s="25"/>
      <c r="H236" s="26"/>
      <c r="I236" s="26"/>
      <c r="T236" s="26"/>
      <c r="U236" s="26"/>
      <c r="V236" s="26"/>
      <c r="W236" s="26"/>
    </row>
    <row r="237" spans="4:23">
      <c r="D237" s="25"/>
      <c r="E237" s="25"/>
      <c r="H237" s="26"/>
      <c r="I237" s="26"/>
      <c r="T237" s="26"/>
      <c r="U237" s="26"/>
      <c r="V237" s="26"/>
      <c r="W237" s="26"/>
    </row>
    <row r="238" spans="4:23">
      <c r="D238" s="25"/>
      <c r="E238" s="25"/>
      <c r="H238" s="26"/>
      <c r="I238" s="26"/>
      <c r="T238" s="26"/>
      <c r="U238" s="26"/>
      <c r="V238" s="26"/>
      <c r="W238" s="26"/>
    </row>
    <row r="239" spans="4:23">
      <c r="D239" s="25"/>
      <c r="E239" s="25"/>
      <c r="H239" s="26"/>
      <c r="I239" s="26"/>
      <c r="T239" s="26"/>
      <c r="U239" s="26"/>
      <c r="V239" s="26"/>
      <c r="W239" s="26"/>
    </row>
    <row r="240" spans="4:23">
      <c r="D240" s="25"/>
      <c r="E240" s="25"/>
      <c r="H240" s="26"/>
      <c r="I240" s="26"/>
      <c r="T240" s="26"/>
      <c r="U240" s="26"/>
      <c r="V240" s="26"/>
      <c r="W240" s="26"/>
    </row>
    <row r="241" spans="4:23">
      <c r="D241" s="25"/>
      <c r="E241" s="25"/>
      <c r="H241" s="26"/>
      <c r="I241" s="26"/>
      <c r="T241" s="26"/>
      <c r="U241" s="26"/>
      <c r="V241" s="26"/>
      <c r="W241" s="26"/>
    </row>
    <row r="242" spans="4:23">
      <c r="D242" s="25"/>
      <c r="E242" s="25"/>
      <c r="H242" s="26"/>
      <c r="I242" s="26"/>
      <c r="T242" s="26"/>
      <c r="U242" s="26"/>
      <c r="V242" s="26"/>
      <c r="W242" s="26"/>
    </row>
    <row r="243" spans="4:23">
      <c r="D243" s="25"/>
      <c r="E243" s="25"/>
      <c r="H243" s="26"/>
      <c r="I243" s="26"/>
      <c r="T243" s="26"/>
      <c r="U243" s="26"/>
      <c r="V243" s="26"/>
      <c r="W243" s="26"/>
    </row>
    <row r="244" spans="4:23">
      <c r="D244" s="25"/>
      <c r="E244" s="25"/>
      <c r="H244" s="26"/>
      <c r="I244" s="26"/>
      <c r="T244" s="26"/>
      <c r="U244" s="26"/>
      <c r="V244" s="26"/>
      <c r="W244" s="26"/>
    </row>
    <row r="245" spans="4:23">
      <c r="D245" s="25"/>
      <c r="E245" s="25"/>
      <c r="F245" s="25"/>
      <c r="G245" s="25"/>
      <c r="H245" s="26"/>
      <c r="I245" s="29"/>
      <c r="J245" s="29"/>
      <c r="L245" s="31"/>
      <c r="T245" s="26"/>
      <c r="U245" s="26"/>
      <c r="V245" s="26"/>
      <c r="W245" s="26"/>
    </row>
    <row r="246" spans="4:23">
      <c r="D246" s="25"/>
      <c r="E246" s="25"/>
      <c r="H246" s="29"/>
      <c r="I246" s="26"/>
      <c r="T246" s="26"/>
      <c r="U246" s="26"/>
      <c r="V246" s="26"/>
      <c r="W246" s="26"/>
    </row>
    <row r="247" spans="4:23">
      <c r="D247" s="25"/>
      <c r="E247" s="25"/>
      <c r="H247" s="26"/>
      <c r="I247" s="26"/>
      <c r="T247" s="26"/>
      <c r="U247" s="26"/>
      <c r="V247" s="26"/>
      <c r="W247" s="26"/>
    </row>
    <row r="248" spans="4:23">
      <c r="D248" s="25"/>
      <c r="E248" s="25"/>
      <c r="H248" s="26"/>
      <c r="I248" s="26"/>
      <c r="T248" s="26"/>
      <c r="U248" s="26"/>
      <c r="V248" s="26"/>
      <c r="W248" s="26"/>
    </row>
    <row r="249" spans="4:23">
      <c r="D249" s="25"/>
      <c r="E249" s="25"/>
      <c r="T249" s="26"/>
      <c r="U249" s="26"/>
      <c r="V249" s="26"/>
      <c r="W249" s="26"/>
    </row>
    <row r="250" spans="4:23">
      <c r="D250" s="25"/>
      <c r="E250" s="25"/>
      <c r="T250" s="26"/>
      <c r="U250" s="26"/>
      <c r="V250" s="26"/>
      <c r="W250" s="26"/>
    </row>
    <row r="251" spans="4:23">
      <c r="D251" s="25"/>
      <c r="E251" s="25"/>
      <c r="T251" s="26"/>
      <c r="U251" s="26"/>
      <c r="V251" s="26"/>
      <c r="W251" s="26"/>
    </row>
    <row r="252" spans="4:23">
      <c r="D252" s="25"/>
      <c r="E252" s="25"/>
      <c r="T252" s="26"/>
      <c r="U252" s="26"/>
      <c r="V252" s="26"/>
      <c r="W252" s="26"/>
    </row>
    <row r="253" spans="4:23">
      <c r="D253" s="25"/>
      <c r="E253" s="25"/>
      <c r="T253" s="26"/>
      <c r="U253" s="26"/>
      <c r="V253" s="26"/>
      <c r="W253" s="26"/>
    </row>
    <row r="254" spans="4:23">
      <c r="D254" s="25"/>
      <c r="E254" s="25"/>
      <c r="T254" s="26"/>
      <c r="U254" s="26"/>
      <c r="V254" s="26"/>
      <c r="W254" s="26"/>
    </row>
    <row r="255" spans="4:23">
      <c r="D255" s="25"/>
      <c r="E255" s="25"/>
      <c r="T255" s="26"/>
      <c r="U255" s="26"/>
      <c r="V255" s="26"/>
      <c r="W255" s="26"/>
    </row>
    <row r="256" spans="4:23">
      <c r="D256" s="25"/>
      <c r="E256" s="25"/>
      <c r="T256" s="26"/>
      <c r="U256" s="26"/>
      <c r="V256" s="26"/>
      <c r="W256" s="26"/>
    </row>
    <row r="257" spans="4:23">
      <c r="D257" s="25"/>
      <c r="E257" s="25"/>
      <c r="F257" s="25"/>
      <c r="G257" s="25"/>
      <c r="H257" s="26"/>
      <c r="I257" s="29"/>
      <c r="J257" s="29"/>
      <c r="T257" s="26"/>
      <c r="U257" s="26"/>
      <c r="V257" s="26"/>
      <c r="W257" s="26"/>
    </row>
    <row r="258" spans="4:23">
      <c r="D258" s="25"/>
      <c r="E258" s="25"/>
      <c r="T258" s="26"/>
      <c r="U258" s="26"/>
      <c r="V258" s="26"/>
      <c r="W258" s="26"/>
    </row>
    <row r="259" spans="4:23">
      <c r="D259" s="25"/>
      <c r="E259" s="25"/>
      <c r="T259" s="26"/>
      <c r="U259" s="26"/>
      <c r="V259" s="26"/>
      <c r="W259" s="26"/>
    </row>
    <row r="260" spans="4:23">
      <c r="D260" s="25"/>
      <c r="E260" s="25"/>
      <c r="T260" s="26"/>
      <c r="U260" s="26"/>
      <c r="V260" s="26"/>
      <c r="W260" s="26"/>
    </row>
    <row r="261" spans="4:23">
      <c r="D261" s="25"/>
      <c r="E261" s="25"/>
      <c r="T261" s="26"/>
      <c r="U261" s="26"/>
      <c r="V261" s="26"/>
      <c r="W261" s="26"/>
    </row>
    <row r="262" spans="4:23">
      <c r="D262" s="25"/>
      <c r="E262" s="25"/>
      <c r="T262" s="26"/>
      <c r="U262" s="26"/>
      <c r="V262" s="26"/>
      <c r="W262" s="26"/>
    </row>
    <row r="263" spans="4:23">
      <c r="D263" s="25"/>
      <c r="E263" s="25"/>
      <c r="T263" s="26"/>
      <c r="U263" s="26"/>
      <c r="V263" s="26"/>
      <c r="W263" s="26"/>
    </row>
    <row r="264" spans="4:23">
      <c r="D264" s="25"/>
      <c r="E264" s="25"/>
      <c r="T264" s="26"/>
      <c r="U264" s="26"/>
      <c r="V264" s="26"/>
      <c r="W264" s="26"/>
    </row>
    <row r="265" spans="4:23">
      <c r="D265" s="25"/>
      <c r="E265" s="25"/>
      <c r="F265" s="26"/>
      <c r="T265" s="26"/>
      <c r="U265" s="26"/>
      <c r="V265" s="26"/>
      <c r="W265" s="26"/>
    </row>
    <row r="266" spans="4:23">
      <c r="D266" s="25"/>
      <c r="E266" s="25"/>
      <c r="F266" s="26"/>
      <c r="T266" s="26"/>
      <c r="U266" s="26"/>
      <c r="V266" s="26"/>
      <c r="W266" s="26"/>
    </row>
    <row r="267" spans="4:23">
      <c r="D267" s="25"/>
      <c r="E267" s="25"/>
      <c r="F267" s="26"/>
      <c r="T267" s="26"/>
      <c r="U267" s="26"/>
      <c r="V267" s="26"/>
      <c r="W267" s="26"/>
    </row>
    <row r="268" spans="4:23">
      <c r="D268" s="25"/>
      <c r="E268" s="25"/>
      <c r="F268" s="26"/>
      <c r="T268" s="26"/>
      <c r="U268" s="26"/>
      <c r="V268" s="26"/>
      <c r="W268" s="26"/>
    </row>
    <row r="269" spans="4:23">
      <c r="D269" s="20"/>
      <c r="E269" s="20"/>
      <c r="T269" s="26"/>
      <c r="U269" s="26"/>
      <c r="V269" s="26"/>
      <c r="W269" s="26"/>
    </row>
    <row r="270" spans="4:23">
      <c r="D270" s="20"/>
      <c r="E270" s="20"/>
      <c r="T270" s="26"/>
      <c r="U270" s="26"/>
      <c r="V270" s="26"/>
      <c r="W270" s="26"/>
    </row>
    <row r="271" spans="4:23">
      <c r="T271" s="26"/>
      <c r="U271" s="26"/>
      <c r="V271" s="26"/>
      <c r="W271" s="26"/>
    </row>
    <row r="272" spans="4:23">
      <c r="T272" s="26"/>
      <c r="U272" s="26"/>
      <c r="V272" s="26"/>
      <c r="W272" s="26"/>
    </row>
    <row r="273" spans="9:23">
      <c r="T273" s="26"/>
      <c r="U273" s="26"/>
      <c r="V273" s="26"/>
      <c r="W273" s="26"/>
    </row>
    <row r="274" spans="9:23">
      <c r="T274" s="26"/>
      <c r="U274" s="26"/>
      <c r="V274" s="26"/>
      <c r="W274" s="26"/>
    </row>
    <row r="275" spans="9:23">
      <c r="I275" s="29"/>
      <c r="J275" s="29"/>
      <c r="K275" s="29"/>
      <c r="L275" s="29"/>
      <c r="M275" s="29"/>
      <c r="N275" s="29"/>
      <c r="O275" s="29"/>
      <c r="P275" s="29"/>
      <c r="Q275" s="29"/>
      <c r="T275" s="26"/>
      <c r="U275" s="26"/>
      <c r="V275" s="26"/>
      <c r="W275" s="26"/>
    </row>
    <row r="276" spans="9:23">
      <c r="T276" s="26"/>
      <c r="U276" s="26"/>
      <c r="V276" s="26"/>
      <c r="W276" s="26"/>
    </row>
    <row r="277" spans="9:23">
      <c r="T277" s="26"/>
      <c r="U277" s="26"/>
      <c r="V277" s="26"/>
      <c r="W277" s="26"/>
    </row>
    <row r="278" spans="9:23">
      <c r="T278" s="26"/>
      <c r="U278" s="26"/>
      <c r="V278" s="26"/>
      <c r="W278" s="26"/>
    </row>
    <row r="279" spans="9:23">
      <c r="T279" s="26"/>
      <c r="U279" s="26"/>
      <c r="V279" s="26"/>
      <c r="W279" s="26"/>
    </row>
    <row r="280" spans="9:23">
      <c r="T280" s="26"/>
      <c r="U280" s="26"/>
      <c r="V280" s="26"/>
      <c r="W280" s="26"/>
    </row>
    <row r="281" spans="9:23">
      <c r="T281" s="26"/>
      <c r="U281" s="26"/>
      <c r="V281" s="26"/>
      <c r="W281" s="26"/>
    </row>
    <row r="282" spans="9:23">
      <c r="T282" s="26"/>
      <c r="U282" s="26"/>
      <c r="V282" s="26"/>
      <c r="W282" s="26"/>
    </row>
    <row r="283" spans="9:23">
      <c r="T283" s="26"/>
      <c r="U283" s="26"/>
      <c r="V283" s="26"/>
      <c r="W283" s="26"/>
    </row>
    <row r="284" spans="9:23">
      <c r="T284" s="26"/>
      <c r="U284" s="26"/>
      <c r="V284" s="26"/>
      <c r="W284" s="26"/>
    </row>
    <row r="285" spans="9:23">
      <c r="T285" s="26"/>
      <c r="U285" s="26"/>
      <c r="V285" s="26"/>
      <c r="W285" s="26"/>
    </row>
    <row r="286" spans="9:23">
      <c r="T286" s="26"/>
      <c r="U286" s="26"/>
      <c r="V286" s="26"/>
      <c r="W286" s="26"/>
    </row>
    <row r="287" spans="9:23">
      <c r="T287" s="26"/>
      <c r="U287" s="26"/>
      <c r="V287" s="26"/>
      <c r="W287" s="26"/>
    </row>
    <row r="288" spans="9:23">
      <c r="T288" s="26"/>
      <c r="U288" s="26"/>
      <c r="V288" s="26"/>
      <c r="W288" s="26"/>
    </row>
    <row r="289" spans="20:23">
      <c r="T289" s="26"/>
      <c r="U289" s="26"/>
      <c r="V289" s="26"/>
      <c r="W289" s="26"/>
    </row>
    <row r="290" spans="20:23">
      <c r="T290" s="26"/>
      <c r="U290" s="26"/>
      <c r="V290" s="26"/>
      <c r="W290" s="26"/>
    </row>
    <row r="291" spans="20:23">
      <c r="T291" s="26"/>
      <c r="U291" s="26"/>
      <c r="V291" s="26"/>
      <c r="W291" s="26"/>
    </row>
    <row r="292" spans="20:23">
      <c r="T292" s="26"/>
      <c r="U292" s="26"/>
      <c r="V292" s="26"/>
      <c r="W292" s="26"/>
    </row>
    <row r="293" spans="20:23">
      <c r="T293" s="26"/>
      <c r="U293" s="26"/>
      <c r="V293" s="26"/>
      <c r="W293" s="26"/>
    </row>
    <row r="294" spans="20:23">
      <c r="T294" s="26"/>
      <c r="U294" s="26"/>
    </row>
    <row r="295" spans="20:23">
      <c r="T295" s="26"/>
      <c r="U295" s="26"/>
    </row>
    <row r="296" spans="20:23">
      <c r="T296" s="26"/>
      <c r="U296" s="26"/>
    </row>
    <row r="297" spans="20:23">
      <c r="T297" s="26"/>
      <c r="U297" s="26"/>
    </row>
    <row r="298" spans="20:23">
      <c r="T298" s="26"/>
      <c r="U298" s="26"/>
    </row>
    <row r="299" spans="20:23">
      <c r="T299" s="26"/>
      <c r="U299" s="26"/>
    </row>
    <row r="300" spans="20:23">
      <c r="T300" s="26"/>
      <c r="U300" s="26"/>
    </row>
    <row r="301" spans="20:23">
      <c r="T301" s="26"/>
      <c r="U301" s="26"/>
    </row>
    <row r="302" spans="20:23">
      <c r="T302" s="26"/>
      <c r="U302" s="26"/>
    </row>
    <row r="303" spans="20:23">
      <c r="T303" s="26"/>
      <c r="U303" s="26"/>
    </row>
    <row r="304" spans="20:23">
      <c r="T304" s="26"/>
      <c r="U304" s="26"/>
    </row>
    <row r="305" spans="20:21">
      <c r="T305" s="26"/>
      <c r="U305" s="26"/>
    </row>
    <row r="306" spans="20:21">
      <c r="T306" s="26"/>
      <c r="U306" s="26"/>
    </row>
  </sheetData>
  <conditionalFormatting sqref="F1:F4">
    <cfRule type="cellIs" dxfId="11" priority="14" stopIfTrue="1" operator="greaterThan">
      <formula>"0.01"</formula>
    </cfRule>
  </conditionalFormatting>
  <conditionalFormatting sqref="F233:G233">
    <cfRule type="cellIs" dxfId="10" priority="11" stopIfTrue="1" operator="greaterThan">
      <formula>"0.01"</formula>
    </cfRule>
  </conditionalFormatting>
  <conditionalFormatting sqref="F221:G221">
    <cfRule type="cellIs" dxfId="9" priority="10" stopIfTrue="1" operator="greaterThan">
      <formula>"0.01"</formula>
    </cfRule>
  </conditionalFormatting>
  <conditionalFormatting sqref="F209:G209">
    <cfRule type="cellIs" dxfId="8" priority="9" stopIfTrue="1" operator="greaterThan">
      <formula>"0.01"</formula>
    </cfRule>
  </conditionalFormatting>
  <conditionalFormatting sqref="F197:G197">
    <cfRule type="cellIs" dxfId="7" priority="8" stopIfTrue="1" operator="greaterThan">
      <formula>"0.01"</formula>
    </cfRule>
  </conditionalFormatting>
  <conditionalFormatting sqref="F185:G185">
    <cfRule type="cellIs" dxfId="6" priority="7" stopIfTrue="1" operator="greaterThan">
      <formula>"0.01"</formula>
    </cfRule>
  </conditionalFormatting>
  <conditionalFormatting sqref="F173:G173">
    <cfRule type="cellIs" dxfId="5" priority="6" stopIfTrue="1" operator="greaterThan">
      <formula>"0.01"</formula>
    </cfRule>
  </conditionalFormatting>
  <conditionalFormatting sqref="F161:G161">
    <cfRule type="cellIs" dxfId="4" priority="5" stopIfTrue="1" operator="greaterThan">
      <formula>"0.01"</formula>
    </cfRule>
  </conditionalFormatting>
  <conditionalFormatting sqref="F149:G149">
    <cfRule type="cellIs" dxfId="3" priority="4" stopIfTrue="1" operator="greaterThan">
      <formula>"0.01"</formula>
    </cfRule>
  </conditionalFormatting>
  <conditionalFormatting sqref="F137:G137">
    <cfRule type="cellIs" dxfId="2" priority="3" stopIfTrue="1" operator="greaterThan">
      <formula>"0.01"</formula>
    </cfRule>
  </conditionalFormatting>
  <conditionalFormatting sqref="F245:G245">
    <cfRule type="cellIs" dxfId="1" priority="2" stopIfTrue="1" operator="greaterThan">
      <formula>"0.01"</formula>
    </cfRule>
  </conditionalFormatting>
  <conditionalFormatting sqref="F257:G257">
    <cfRule type="cellIs" dxfId="0" priority="1" stopIfTrue="1" operator="greaterThan">
      <formula>"0.01"</formula>
    </cfRule>
  </conditionalFormatting>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
  <sheetViews>
    <sheetView showGridLines="0" zoomScaleNormal="100" workbookViewId="0">
      <selection activeCell="D26" sqref="D26"/>
    </sheetView>
  </sheetViews>
  <sheetFormatPr baseColWidth="10" defaultRowHeight="12.75"/>
  <cols>
    <col min="1" max="1" width="11.42578125" style="20"/>
    <col min="2" max="8" width="9.42578125" style="20" customWidth="1"/>
    <col min="9" max="9" width="20.5703125" style="20" customWidth="1"/>
    <col min="10" max="11" width="9.42578125" style="20" customWidth="1"/>
    <col min="12" max="16384" width="11.42578125" style="20"/>
  </cols>
  <sheetData>
    <row r="1" spans="1:13">
      <c r="A1" s="1" t="s">
        <v>73</v>
      </c>
      <c r="B1" s="2"/>
      <c r="C1" s="2"/>
      <c r="D1" s="2"/>
      <c r="E1" s="2"/>
      <c r="F1" s="2"/>
      <c r="G1" s="7"/>
      <c r="H1" s="3"/>
      <c r="I1" s="3"/>
      <c r="J1" s="3"/>
    </row>
    <row r="2" spans="1:13">
      <c r="A2" s="2" t="s">
        <v>87</v>
      </c>
      <c r="B2" s="2"/>
      <c r="C2" s="2"/>
      <c r="D2" s="2"/>
      <c r="E2" s="2"/>
      <c r="F2" s="2"/>
      <c r="G2" s="3"/>
      <c r="H2" s="3"/>
      <c r="I2" s="3"/>
      <c r="J2" s="3"/>
    </row>
    <row r="3" spans="1:13">
      <c r="A3" s="9"/>
      <c r="B3" s="2"/>
      <c r="C3" s="2"/>
      <c r="D3" s="2"/>
      <c r="E3" s="2"/>
      <c r="F3" s="2"/>
      <c r="G3" s="3"/>
      <c r="H3" s="3"/>
      <c r="I3" s="3"/>
      <c r="J3" s="3"/>
    </row>
    <row r="4" spans="1:13">
      <c r="A4" s="49"/>
      <c r="B4" s="10">
        <v>2019</v>
      </c>
      <c r="C4" s="10">
        <v>2020</v>
      </c>
      <c r="D4" s="10">
        <v>2021</v>
      </c>
      <c r="E4" s="10">
        <v>2022</v>
      </c>
      <c r="F4" s="10">
        <v>2023</v>
      </c>
      <c r="G4" s="10">
        <v>2024</v>
      </c>
      <c r="H4" s="11">
        <v>2025</v>
      </c>
      <c r="I4" s="12" t="s">
        <v>58</v>
      </c>
    </row>
    <row r="5" spans="1:13">
      <c r="A5" s="13" t="s">
        <v>0</v>
      </c>
      <c r="B5" s="84">
        <v>428.14676012792631</v>
      </c>
      <c r="C5" s="84">
        <v>287.83016109302457</v>
      </c>
      <c r="D5" s="14">
        <v>452.95231240559377</v>
      </c>
      <c r="E5" s="14">
        <v>750.70147435836282</v>
      </c>
      <c r="F5" s="14">
        <v>585.83059814584908</v>
      </c>
      <c r="G5" s="14">
        <v>568.73451138189955</v>
      </c>
      <c r="H5" s="14">
        <v>472.90500214653571</v>
      </c>
      <c r="I5" s="85">
        <f>-1+H5/G5</f>
        <v>-0.16849603341727803</v>
      </c>
    </row>
    <row r="6" spans="1:13">
      <c r="M6" s="86"/>
    </row>
    <row r="7" spans="1:13">
      <c r="A7" s="87" t="s">
        <v>37</v>
      </c>
      <c r="B7" s="8"/>
      <c r="C7" s="8"/>
      <c r="D7" s="8"/>
      <c r="E7" s="8"/>
      <c r="F7" s="8"/>
      <c r="G7" s="8"/>
      <c r="H7" s="8"/>
      <c r="I7" s="8"/>
      <c r="J7" s="8"/>
      <c r="M7" s="86"/>
    </row>
    <row r="8" spans="1:13">
      <c r="A8" s="88" t="s">
        <v>60</v>
      </c>
      <c r="B8" s="2"/>
      <c r="C8" s="2"/>
      <c r="D8" s="2"/>
      <c r="E8" s="2"/>
      <c r="F8" s="2"/>
      <c r="G8" s="2"/>
      <c r="H8" s="2"/>
      <c r="I8" s="2"/>
      <c r="J8" s="2"/>
      <c r="M8" s="86"/>
    </row>
    <row r="9" spans="1:13">
      <c r="A9" s="28" t="s">
        <v>88</v>
      </c>
    </row>
    <row r="14" spans="1:13">
      <c r="B14" s="26"/>
      <c r="C14" s="26"/>
      <c r="D14" s="26"/>
      <c r="E14" s="26"/>
      <c r="F14" s="26"/>
      <c r="G14" s="26"/>
      <c r="H14" s="26"/>
      <c r="I14" s="26"/>
      <c r="J14" s="26"/>
      <c r="K14" s="26"/>
      <c r="L14" s="26"/>
      <c r="M14" s="26"/>
    </row>
    <row r="16" spans="1:13">
      <c r="B16" s="26"/>
      <c r="C16" s="26"/>
      <c r="D16" s="26"/>
      <c r="E16" s="26"/>
      <c r="F16" s="26"/>
      <c r="G16" s="26"/>
      <c r="H16" s="26"/>
      <c r="I16" s="26"/>
      <c r="J16" s="26"/>
      <c r="K16" s="26"/>
      <c r="L16" s="2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B46"/>
  <sheetViews>
    <sheetView showGridLines="0" zoomScaleNormal="100" workbookViewId="0">
      <selection activeCell="D26" sqref="D26"/>
    </sheetView>
  </sheetViews>
  <sheetFormatPr baseColWidth="10" defaultRowHeight="12.75"/>
  <cols>
    <col min="1" max="1" width="11.42578125" style="20"/>
    <col min="2" max="2" width="31.140625" style="20" bestFit="1" customWidth="1"/>
    <col min="3" max="3" width="7.5703125" style="20" customWidth="1"/>
    <col min="4" max="4" width="5.85546875" style="20" customWidth="1"/>
    <col min="5" max="5" width="6.28515625" style="20" customWidth="1"/>
    <col min="6" max="6" width="5.85546875" style="20" customWidth="1"/>
    <col min="7" max="7" width="6.42578125" style="20" customWidth="1"/>
    <col min="8" max="8" width="7.140625" style="20" customWidth="1"/>
    <col min="9" max="9" width="6.5703125" style="20" customWidth="1"/>
    <col min="10" max="10" width="19" style="20" customWidth="1"/>
    <col min="11" max="12" width="9.85546875" style="20" customWidth="1"/>
    <col min="13" max="13" width="10.5703125" style="20" customWidth="1"/>
    <col min="14" max="16384" width="11.42578125" style="20"/>
  </cols>
  <sheetData>
    <row r="1" spans="1:14 16382:16382">
      <c r="A1" s="1" t="s">
        <v>11</v>
      </c>
      <c r="B1" s="1"/>
      <c r="C1" s="4"/>
    </row>
    <row r="2" spans="1:14 16382:16382">
      <c r="A2" s="20" t="s">
        <v>39</v>
      </c>
    </row>
    <row r="3" spans="1:14 16382:16382" ht="25.5">
      <c r="B3" s="30"/>
      <c r="C3" s="10">
        <v>2019</v>
      </c>
      <c r="D3" s="10">
        <v>2020</v>
      </c>
      <c r="E3" s="10">
        <v>2021</v>
      </c>
      <c r="F3" s="10">
        <v>2022</v>
      </c>
      <c r="G3" s="10">
        <v>2023</v>
      </c>
      <c r="H3" s="10">
        <v>2024</v>
      </c>
      <c r="I3" s="11">
        <v>2025</v>
      </c>
      <c r="J3" s="12" t="s">
        <v>58</v>
      </c>
      <c r="XFB3" s="29"/>
    </row>
    <row r="4" spans="1:14 16382:16382">
      <c r="B4" s="15" t="s">
        <v>0</v>
      </c>
      <c r="C4" s="16">
        <v>530.50587186914993</v>
      </c>
      <c r="D4" s="16">
        <v>375.33663036373099</v>
      </c>
      <c r="E4" s="16">
        <v>527.3415350161805</v>
      </c>
      <c r="F4" s="16">
        <v>944.2740809064519</v>
      </c>
      <c r="G4" s="16">
        <v>771.12054629828117</v>
      </c>
      <c r="H4" s="16">
        <v>729.59080953508294</v>
      </c>
      <c r="I4" s="16">
        <v>650.53044594977359</v>
      </c>
      <c r="J4" s="17">
        <f>(-1+I4/H4)</f>
        <v>-0.10836260894745775</v>
      </c>
      <c r="XFB4" s="29"/>
    </row>
    <row r="5" spans="1:14 16382:16382">
      <c r="B5" s="74" t="s">
        <v>45</v>
      </c>
      <c r="C5" s="75">
        <v>545.77108379125798</v>
      </c>
      <c r="D5" s="75">
        <v>365.99715977642029</v>
      </c>
      <c r="E5" s="76">
        <v>500.14950480867952</v>
      </c>
      <c r="F5" s="76">
        <v>978.25564431965654</v>
      </c>
      <c r="G5" s="76">
        <v>780.79739049251214</v>
      </c>
      <c r="H5" s="77">
        <v>720.13641074489976</v>
      </c>
      <c r="I5" s="77">
        <v>636.76096206003274</v>
      </c>
      <c r="J5" s="18">
        <f t="shared" ref="J5:J14" si="0">(-1+I5/H5)</f>
        <v>-0.11577729919061386</v>
      </c>
      <c r="XFB5" s="29"/>
    </row>
    <row r="6" spans="1:14 16382:16382">
      <c r="B6" s="74" t="s">
        <v>1</v>
      </c>
      <c r="C6" s="75">
        <v>556.8617721793928</v>
      </c>
      <c r="D6" s="75">
        <v>348.79044369017771</v>
      </c>
      <c r="E6" s="76">
        <v>516.95599487226593</v>
      </c>
      <c r="F6" s="76">
        <v>1029.2130099367821</v>
      </c>
      <c r="G6" s="76">
        <v>811.25874425936854</v>
      </c>
      <c r="H6" s="77">
        <v>756.01326356110133</v>
      </c>
      <c r="I6" s="77">
        <v>666.32730345658706</v>
      </c>
      <c r="J6" s="18">
        <f t="shared" si="0"/>
        <v>-0.11863014106665315</v>
      </c>
      <c r="XFB6" s="29"/>
    </row>
    <row r="7" spans="1:14 16382:16382">
      <c r="B7" s="74" t="s">
        <v>2</v>
      </c>
      <c r="C7" s="75">
        <v>318.00605829644684</v>
      </c>
      <c r="D7" s="75">
        <v>287.48856986053414</v>
      </c>
      <c r="E7" s="76">
        <v>450.45855504592146</v>
      </c>
      <c r="F7" s="76">
        <v>558.42440781972209</v>
      </c>
      <c r="G7" s="76">
        <v>449.27906889838249</v>
      </c>
      <c r="H7" s="77">
        <v>458.99595146163961</v>
      </c>
      <c r="I7" s="77">
        <v>423.08183414582749</v>
      </c>
      <c r="J7" s="18">
        <f t="shared" si="0"/>
        <v>-7.8244954452095228E-2</v>
      </c>
      <c r="XFB7" s="29"/>
    </row>
    <row r="8" spans="1:14 16382:16382">
      <c r="B8" s="74" t="s">
        <v>3</v>
      </c>
      <c r="C8" s="75">
        <v>432.7861513636276</v>
      </c>
      <c r="D8" s="75">
        <v>336.98850136669358</v>
      </c>
      <c r="E8" s="76">
        <v>459.98798042915115</v>
      </c>
      <c r="F8" s="76">
        <v>649.53016224134797</v>
      </c>
      <c r="G8" s="76">
        <v>630.52819753574397</v>
      </c>
      <c r="H8" s="77">
        <v>620.96149751049029</v>
      </c>
      <c r="I8" s="77">
        <v>528.67999335987702</v>
      </c>
      <c r="J8" s="18">
        <f t="shared" si="0"/>
        <v>-0.1486106699377997</v>
      </c>
      <c r="XFB8" s="29"/>
    </row>
    <row r="9" spans="1:14 16382:16382">
      <c r="B9" s="78" t="s">
        <v>4</v>
      </c>
      <c r="C9" s="79">
        <v>551.81705605724005</v>
      </c>
      <c r="D9" s="79">
        <v>403.31133568053554</v>
      </c>
      <c r="E9" s="80">
        <v>615.43048619524484</v>
      </c>
      <c r="F9" s="80">
        <v>952.52565817038044</v>
      </c>
      <c r="G9" s="80">
        <v>876.96463482669162</v>
      </c>
      <c r="H9" s="80">
        <v>806.44670797207448</v>
      </c>
      <c r="I9" s="80">
        <v>724.32663789403432</v>
      </c>
      <c r="J9" s="19">
        <f t="shared" si="0"/>
        <v>-0.10182950623549925</v>
      </c>
      <c r="XFB9" s="29"/>
    </row>
    <row r="10" spans="1:14 16382:16382">
      <c r="B10" s="15" t="s">
        <v>5</v>
      </c>
      <c r="C10" s="16">
        <v>613.67141359744119</v>
      </c>
      <c r="D10" s="16">
        <v>525.99022921322216</v>
      </c>
      <c r="E10" s="16">
        <v>737.20544412347863</v>
      </c>
      <c r="F10" s="16">
        <v>1029.1054335904018</v>
      </c>
      <c r="G10" s="16">
        <v>866.31151002989293</v>
      </c>
      <c r="H10" s="16">
        <v>803.0113135103237</v>
      </c>
      <c r="I10" s="16">
        <v>706.76841462242453</v>
      </c>
      <c r="J10" s="17">
        <f t="shared" si="0"/>
        <v>-0.11985248186252595</v>
      </c>
    </row>
    <row r="11" spans="1:14 16382:16382">
      <c r="B11" s="74" t="s">
        <v>45</v>
      </c>
      <c r="C11" s="75">
        <v>504.85031982913824</v>
      </c>
      <c r="D11" s="75">
        <v>438.15532334020241</v>
      </c>
      <c r="E11" s="76">
        <v>648.55436703096223</v>
      </c>
      <c r="F11" s="76">
        <v>1232.7888153243989</v>
      </c>
      <c r="G11" s="76">
        <v>833.18933984376247</v>
      </c>
      <c r="H11" s="76">
        <v>660.08571881829266</v>
      </c>
      <c r="I11" s="76">
        <v>694.95102122776689</v>
      </c>
      <c r="J11" s="18">
        <f t="shared" si="0"/>
        <v>5.2819355752600217E-2</v>
      </c>
    </row>
    <row r="12" spans="1:14 16382:16382">
      <c r="B12" s="74" t="s">
        <v>6</v>
      </c>
      <c r="C12" s="75">
        <v>502.82764016444781</v>
      </c>
      <c r="D12" s="75">
        <v>304.53733598204218</v>
      </c>
      <c r="E12" s="76">
        <v>535.46843530084504</v>
      </c>
      <c r="F12" s="76">
        <v>830.71254029864531</v>
      </c>
      <c r="G12" s="76">
        <v>720.38002309788521</v>
      </c>
      <c r="H12" s="76">
        <v>614.83728694670663</v>
      </c>
      <c r="I12" s="76">
        <v>507.67594101988203</v>
      </c>
      <c r="J12" s="18">
        <f t="shared" si="0"/>
        <v>-0.17429220413581259</v>
      </c>
    </row>
    <row r="13" spans="1:14 16382:16382">
      <c r="B13" s="74" t="s">
        <v>7</v>
      </c>
      <c r="C13" s="76">
        <v>370.28409662305745</v>
      </c>
      <c r="D13" s="76">
        <v>255.67912445937944</v>
      </c>
      <c r="E13" s="76">
        <v>406.76114869141219</v>
      </c>
      <c r="F13" s="76">
        <v>628.02178778031976</v>
      </c>
      <c r="G13" s="76">
        <v>501.0494612970985</v>
      </c>
      <c r="H13" s="76">
        <v>487.15035126104249</v>
      </c>
      <c r="I13" s="76">
        <v>391.64421364066754</v>
      </c>
      <c r="J13" s="18">
        <f t="shared" si="0"/>
        <v>-0.19605063893138275</v>
      </c>
    </row>
    <row r="14" spans="1:14 16382:16382">
      <c r="B14" s="78" t="s">
        <v>8</v>
      </c>
      <c r="C14" s="80">
        <v>675.43077423223792</v>
      </c>
      <c r="D14" s="80">
        <v>685.95692397165647</v>
      </c>
      <c r="E14" s="80">
        <v>1007.8035368829526</v>
      </c>
      <c r="F14" s="80">
        <v>1101.2431784790597</v>
      </c>
      <c r="G14" s="80">
        <v>928.58210382076879</v>
      </c>
      <c r="H14" s="80">
        <v>891.39224762486231</v>
      </c>
      <c r="I14" s="80">
        <v>774.01820595970992</v>
      </c>
      <c r="J14" s="19">
        <f t="shared" si="0"/>
        <v>-0.13167496349435226</v>
      </c>
    </row>
    <row r="15" spans="1:14 16382:16382">
      <c r="B15" s="81" t="s">
        <v>38</v>
      </c>
      <c r="C15" s="26"/>
      <c r="D15" s="26"/>
      <c r="E15" s="26"/>
      <c r="F15" s="26"/>
      <c r="G15" s="26"/>
      <c r="H15" s="26"/>
      <c r="I15" s="26"/>
      <c r="J15" s="26"/>
      <c r="K15" s="26"/>
      <c r="L15" s="26"/>
      <c r="M15" s="26"/>
      <c r="N15" s="26"/>
    </row>
    <row r="16" spans="1:14 16382:16382">
      <c r="B16" s="82" t="s">
        <v>60</v>
      </c>
      <c r="XFB16" s="29"/>
    </row>
    <row r="17" spans="2:2 16382:16382">
      <c r="B17" s="83" t="s">
        <v>86</v>
      </c>
      <c r="XFB17" s="29"/>
    </row>
    <row r="18" spans="2:2 16382:16382">
      <c r="XFB18" s="29"/>
    </row>
    <row r="19" spans="2:2 16382:16382">
      <c r="XFB19" s="29"/>
    </row>
    <row r="46" spans="4:4">
      <c r="D46" s="2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37"/>
  <sheetViews>
    <sheetView showGridLines="0" zoomScaleNormal="100" workbookViewId="0">
      <selection activeCell="B9" sqref="A1:XFD9"/>
    </sheetView>
  </sheetViews>
  <sheetFormatPr baseColWidth="10" defaultRowHeight="12.75"/>
  <cols>
    <col min="1" max="1" width="33.140625" style="20" customWidth="1"/>
    <col min="2" max="2" width="18.140625" style="20" customWidth="1"/>
    <col min="3" max="3" width="6.28515625" style="20" customWidth="1"/>
    <col min="4" max="5" width="6.5703125" style="20" customWidth="1"/>
    <col min="6" max="6" width="6.42578125" style="20" customWidth="1"/>
    <col min="7" max="7" width="6.140625" style="20" customWidth="1"/>
    <col min="8" max="9" width="5.85546875" style="20" customWidth="1"/>
    <col min="10" max="10" width="21.85546875" style="20" customWidth="1"/>
    <col min="11" max="16384" width="11.42578125" style="20"/>
  </cols>
  <sheetData>
    <row r="1" spans="1:14" ht="15" customHeight="1">
      <c r="A1" s="32" t="s">
        <v>14</v>
      </c>
    </row>
    <row r="2" spans="1:14">
      <c r="A2" s="33" t="s">
        <v>84</v>
      </c>
    </row>
    <row r="3" spans="1:14">
      <c r="A3" s="49"/>
    </row>
    <row r="4" spans="1:14">
      <c r="C4" s="54">
        <v>2019</v>
      </c>
      <c r="D4" s="54">
        <v>2020</v>
      </c>
      <c r="E4" s="54">
        <v>2021</v>
      </c>
      <c r="F4" s="54">
        <v>2022</v>
      </c>
      <c r="G4" s="54">
        <v>2023</v>
      </c>
      <c r="H4" s="54">
        <v>2024</v>
      </c>
      <c r="I4" s="54">
        <v>2025</v>
      </c>
      <c r="J4" s="54" t="s">
        <v>58</v>
      </c>
    </row>
    <row r="5" spans="1:14">
      <c r="A5" s="55" t="s">
        <v>16</v>
      </c>
      <c r="B5" s="13" t="s">
        <v>17</v>
      </c>
      <c r="C5" s="71">
        <v>0.59129100000000001</v>
      </c>
      <c r="D5" s="57">
        <v>0.44080576923076897</v>
      </c>
      <c r="E5" s="71">
        <v>0.58266981132075502</v>
      </c>
      <c r="F5" s="71">
        <v>0.93120384615384599</v>
      </c>
      <c r="G5" s="71">
        <v>0.88664807692307701</v>
      </c>
      <c r="H5" s="71">
        <v>0.80308653846153799</v>
      </c>
      <c r="I5" s="71">
        <v>0.739609615384615</v>
      </c>
      <c r="J5" s="72">
        <v>-7.9041199219357927E-2</v>
      </c>
      <c r="L5" s="29"/>
      <c r="M5" s="29"/>
      <c r="N5" s="29"/>
    </row>
    <row r="6" spans="1:14">
      <c r="A6" s="60"/>
      <c r="B6" s="13" t="s">
        <v>49</v>
      </c>
      <c r="C6" s="71">
        <v>0.60909400000000002</v>
      </c>
      <c r="D6" s="57">
        <v>0.60909967948718102</v>
      </c>
      <c r="E6" s="71">
        <v>0.60909433962264503</v>
      </c>
      <c r="F6" s="71">
        <v>0.60909102564102402</v>
      </c>
      <c r="G6" s="71">
        <v>0.60899935897436297</v>
      </c>
      <c r="H6" s="71">
        <v>0.60889262820513201</v>
      </c>
      <c r="I6" s="71">
        <v>0.60919006410256504</v>
      </c>
      <c r="J6" s="72">
        <v>4.8848661267220095E-4</v>
      </c>
      <c r="L6" s="29"/>
      <c r="M6" s="29"/>
      <c r="N6" s="29"/>
    </row>
    <row r="7" spans="1:14" ht="17.25" customHeight="1">
      <c r="A7" s="61"/>
      <c r="B7" s="13" t="s">
        <v>18</v>
      </c>
      <c r="C7" s="71">
        <v>1.4404619999999999</v>
      </c>
      <c r="D7" s="57">
        <v>1.2598865384615401</v>
      </c>
      <c r="E7" s="71">
        <v>1.43011698113208</v>
      </c>
      <c r="F7" s="71">
        <v>1.84835384615385</v>
      </c>
      <c r="G7" s="71">
        <v>1.7947769230769199</v>
      </c>
      <c r="H7" s="71">
        <v>1.694375</v>
      </c>
      <c r="I7" s="71">
        <v>1.61855961538462</v>
      </c>
      <c r="J7" s="72">
        <v>-4.4745339500039782E-2</v>
      </c>
      <c r="L7" s="29"/>
      <c r="M7" s="29"/>
      <c r="N7" s="29"/>
    </row>
    <row r="8" spans="1:14" ht="18" customHeight="1">
      <c r="A8" s="55" t="s">
        <v>19</v>
      </c>
      <c r="B8" s="13" t="s">
        <v>17</v>
      </c>
      <c r="C8" s="71">
        <v>0.61654399999999998</v>
      </c>
      <c r="D8" s="57">
        <v>0.49102499999999999</v>
      </c>
      <c r="E8" s="71">
        <v>0.65226603773584901</v>
      </c>
      <c r="F8" s="71">
        <v>0.86156346153846197</v>
      </c>
      <c r="G8" s="71">
        <v>0.92441153846153801</v>
      </c>
      <c r="H8" s="71">
        <v>0.87680192307692295</v>
      </c>
      <c r="I8" s="71">
        <v>0.79996923076923099</v>
      </c>
      <c r="J8" s="72">
        <v>-8.7628334616404957E-2</v>
      </c>
      <c r="L8" s="29"/>
      <c r="M8" s="29"/>
      <c r="N8" s="29"/>
    </row>
    <row r="9" spans="1:14">
      <c r="A9" s="60"/>
      <c r="B9" s="13" t="s">
        <v>49</v>
      </c>
      <c r="C9" s="71">
        <v>0.69120099999999995</v>
      </c>
      <c r="D9" s="57">
        <v>0.69130032051281998</v>
      </c>
      <c r="E9" s="71">
        <v>0.69130314465409104</v>
      </c>
      <c r="F9" s="71">
        <v>0.691298717948718</v>
      </c>
      <c r="G9" s="71">
        <v>0.691301602564102</v>
      </c>
      <c r="H9" s="71">
        <v>0.691295833333337</v>
      </c>
      <c r="I9" s="71">
        <v>0.69160448717948897</v>
      </c>
      <c r="J9" s="72">
        <v>4.4648590555462775E-4</v>
      </c>
      <c r="L9" s="29"/>
      <c r="M9" s="29"/>
      <c r="N9" s="29"/>
    </row>
    <row r="10" spans="1:14" ht="15.75" customHeight="1">
      <c r="A10" s="61"/>
      <c r="B10" s="13" t="s">
        <v>18</v>
      </c>
      <c r="C10" s="71">
        <v>1.569294</v>
      </c>
      <c r="D10" s="57">
        <v>1.41879038461538</v>
      </c>
      <c r="E10" s="71">
        <v>1.61228301886792</v>
      </c>
      <c r="F10" s="71">
        <v>1.86343461538462</v>
      </c>
      <c r="G10" s="71">
        <v>1.93885576923077</v>
      </c>
      <c r="H10" s="71">
        <v>1.8817173076923099</v>
      </c>
      <c r="I10" s="71">
        <v>1.78988846153846</v>
      </c>
      <c r="J10" s="72">
        <v>-4.8800553504217081E-2</v>
      </c>
      <c r="L10" s="29"/>
      <c r="M10" s="29"/>
      <c r="N10" s="29"/>
    </row>
    <row r="11" spans="1:14">
      <c r="A11" s="55" t="s">
        <v>20</v>
      </c>
      <c r="B11" s="13" t="s">
        <v>17</v>
      </c>
      <c r="C11" s="71">
        <v>0.564083</v>
      </c>
      <c r="D11" s="57">
        <v>0.44365769230769198</v>
      </c>
      <c r="E11" s="71">
        <v>0.60170377358490601</v>
      </c>
      <c r="F11" s="71">
        <v>0.79937307692307702</v>
      </c>
      <c r="G11" s="71">
        <v>0.876401923076923</v>
      </c>
      <c r="H11" s="71">
        <v>0.81489423076923095</v>
      </c>
      <c r="I11" s="71">
        <v>0.73682115384615399</v>
      </c>
      <c r="J11" s="72">
        <v>-9.5807620148910311E-2</v>
      </c>
      <c r="L11" s="29"/>
      <c r="M11" s="29"/>
      <c r="N11" s="29"/>
    </row>
    <row r="12" spans="1:14">
      <c r="A12" s="60"/>
      <c r="B12" s="13" t="s">
        <v>49</v>
      </c>
      <c r="C12" s="71">
        <v>0.67190099999999997</v>
      </c>
      <c r="D12" s="57">
        <v>0.67180224358974805</v>
      </c>
      <c r="E12" s="71">
        <v>0.67170817610062405</v>
      </c>
      <c r="F12" s="71">
        <v>0.67170384615384304</v>
      </c>
      <c r="G12" s="71">
        <v>0.67159166666666703</v>
      </c>
      <c r="H12" s="71">
        <v>0.67149839743589901</v>
      </c>
      <c r="I12" s="71">
        <v>0.67169166666666602</v>
      </c>
      <c r="J12" s="72">
        <v>2.8781785854592457E-4</v>
      </c>
      <c r="L12" s="29"/>
      <c r="M12" s="29"/>
      <c r="N12" s="29"/>
    </row>
    <row r="13" spans="1:14" ht="15.75" customHeight="1">
      <c r="A13" s="61"/>
      <c r="B13" s="13" t="s">
        <v>18</v>
      </c>
      <c r="C13" s="71">
        <v>1.4831810000000001</v>
      </c>
      <c r="D13" s="57">
        <v>1.3385519230769201</v>
      </c>
      <c r="E13" s="71">
        <v>1.5280943396226401</v>
      </c>
      <c r="F13" s="71">
        <v>1.7652923076923099</v>
      </c>
      <c r="G13" s="71">
        <v>1.85759230769231</v>
      </c>
      <c r="H13" s="71">
        <v>1.78367115384615</v>
      </c>
      <c r="I13" s="71">
        <v>1.69021538461538</v>
      </c>
      <c r="J13" s="72">
        <v>-5.2395178914706464E-2</v>
      </c>
      <c r="L13" s="29"/>
      <c r="M13" s="29"/>
      <c r="N13" s="29"/>
    </row>
    <row r="14" spans="1:14">
      <c r="A14" s="55" t="s">
        <v>21</v>
      </c>
      <c r="B14" s="13" t="s">
        <v>17</v>
      </c>
      <c r="C14" s="71">
        <v>0.56450800000000001</v>
      </c>
      <c r="D14" s="57">
        <v>0.43791730769230802</v>
      </c>
      <c r="E14" s="71">
        <v>0.60152264150943402</v>
      </c>
      <c r="F14" s="71">
        <v>0.81646538461538498</v>
      </c>
      <c r="G14" s="71">
        <v>0.87803076923076895</v>
      </c>
      <c r="H14" s="71">
        <v>0.82629423076923103</v>
      </c>
      <c r="I14" s="71">
        <v>0.74667692307692302</v>
      </c>
      <c r="J14" s="72">
        <v>-9.6354669713945573E-2</v>
      </c>
      <c r="L14" s="29"/>
      <c r="M14" s="29"/>
      <c r="N14" s="29"/>
    </row>
    <row r="15" spans="1:14">
      <c r="A15" s="60"/>
      <c r="B15" s="13" t="s">
        <v>49</v>
      </c>
      <c r="C15" s="71">
        <v>0.69120300000000001</v>
      </c>
      <c r="D15" s="57">
        <v>0.69130064102564204</v>
      </c>
      <c r="E15" s="71">
        <v>0.69129496855345596</v>
      </c>
      <c r="F15" s="71">
        <v>0.69130384615384499</v>
      </c>
      <c r="G15" s="71">
        <v>0.69129775641026103</v>
      </c>
      <c r="H15" s="71">
        <v>0.69130512820512902</v>
      </c>
      <c r="I15" s="71">
        <v>0.69160673076922696</v>
      </c>
      <c r="J15" s="72">
        <v>4.3627994613748555E-4</v>
      </c>
      <c r="L15" s="29"/>
      <c r="M15" s="29"/>
      <c r="N15" s="29"/>
    </row>
    <row r="16" spans="1:14">
      <c r="A16" s="61"/>
      <c r="B16" s="13" t="s">
        <v>18</v>
      </c>
      <c r="C16" s="71">
        <v>1.506853</v>
      </c>
      <c r="D16" s="57">
        <v>1.3550615384615401</v>
      </c>
      <c r="E16" s="71">
        <v>1.55138113207547</v>
      </c>
      <c r="F16" s="71">
        <v>1.8093230769230799</v>
      </c>
      <c r="G16" s="71">
        <v>1.88319423076923</v>
      </c>
      <c r="H16" s="71">
        <v>1.8211192307692301</v>
      </c>
      <c r="I16" s="71">
        <v>1.72594038461538</v>
      </c>
      <c r="J16" s="72">
        <v>-5.2263928987036801E-2</v>
      </c>
      <c r="L16" s="29"/>
      <c r="M16" s="29"/>
      <c r="N16" s="29"/>
    </row>
    <row r="17" spans="1:14">
      <c r="A17" s="55" t="s">
        <v>47</v>
      </c>
      <c r="B17" s="13" t="s">
        <v>17</v>
      </c>
      <c r="C17" s="71" t="s">
        <v>46</v>
      </c>
      <c r="D17" s="57">
        <v>0.43003076923076899</v>
      </c>
      <c r="E17" s="71">
        <v>0.445503773584906</v>
      </c>
      <c r="F17" s="71">
        <v>0.54649807692307695</v>
      </c>
      <c r="G17" s="71">
        <v>0.76110961538461497</v>
      </c>
      <c r="H17" s="71">
        <v>0.58048846153846201</v>
      </c>
      <c r="I17" s="71">
        <v>0.49172692307692301</v>
      </c>
      <c r="J17" s="72">
        <v>-0.15290835967057004</v>
      </c>
      <c r="L17" s="29"/>
      <c r="M17" s="29"/>
      <c r="N17" s="29"/>
    </row>
    <row r="18" spans="1:14">
      <c r="A18" s="60"/>
      <c r="B18" s="13" t="s">
        <v>49</v>
      </c>
      <c r="C18" s="71" t="s">
        <v>46</v>
      </c>
      <c r="D18" s="57">
        <v>0.118302564102564</v>
      </c>
      <c r="E18" s="71">
        <v>0.11830125786163501</v>
      </c>
      <c r="F18" s="71">
        <v>0.118304807692308</v>
      </c>
      <c r="G18" s="71">
        <v>0.11829743589743601</v>
      </c>
      <c r="H18" s="71">
        <v>0.1183</v>
      </c>
      <c r="I18" s="71">
        <v>0.118303525641026</v>
      </c>
      <c r="J18" s="72">
        <v>2.9802544598389602E-5</v>
      </c>
      <c r="L18" s="29"/>
      <c r="M18" s="29"/>
      <c r="N18" s="29"/>
    </row>
    <row r="19" spans="1:14">
      <c r="A19" s="61"/>
      <c r="B19" s="13" t="s">
        <v>18</v>
      </c>
      <c r="C19" s="71" t="s">
        <v>46</v>
      </c>
      <c r="D19" s="57">
        <v>0.65800000000000003</v>
      </c>
      <c r="E19" s="71">
        <v>0.676566037735849</v>
      </c>
      <c r="F19" s="71">
        <v>0.797763461538462</v>
      </c>
      <c r="G19" s="71">
        <v>1.0552884615384599</v>
      </c>
      <c r="H19" s="71">
        <v>0.83854615384615405</v>
      </c>
      <c r="I19" s="71">
        <v>0.73203653846153804</v>
      </c>
      <c r="J19" s="72">
        <v>-0.12701699828457746</v>
      </c>
      <c r="L19" s="29"/>
      <c r="M19" s="29"/>
      <c r="N19" s="29"/>
    </row>
    <row r="20" spans="1:14">
      <c r="A20" s="55" t="s">
        <v>22</v>
      </c>
      <c r="B20" s="13" t="s">
        <v>17</v>
      </c>
      <c r="C20" s="71">
        <v>0.59821999999999997</v>
      </c>
      <c r="D20" s="57">
        <v>0.58865000000000001</v>
      </c>
      <c r="E20" s="71">
        <v>0.59576981132075502</v>
      </c>
      <c r="F20" s="71">
        <v>0.58825576923076905</v>
      </c>
      <c r="G20" s="71">
        <v>0.70143653846153797</v>
      </c>
      <c r="H20" s="71">
        <v>0.70689999999999997</v>
      </c>
      <c r="I20" s="71">
        <v>0.69122884615384605</v>
      </c>
      <c r="J20" s="72">
        <v>-2.2168841202650946E-2</v>
      </c>
      <c r="L20" s="29"/>
      <c r="M20" s="29"/>
      <c r="N20" s="29"/>
    </row>
    <row r="21" spans="1:14">
      <c r="A21" s="60"/>
      <c r="B21" s="13" t="s">
        <v>49</v>
      </c>
      <c r="C21" s="71">
        <v>0.11</v>
      </c>
      <c r="D21" s="71">
        <v>0.11</v>
      </c>
      <c r="E21" s="71">
        <v>0.11</v>
      </c>
      <c r="F21" s="71">
        <v>0.11</v>
      </c>
      <c r="G21" s="71">
        <v>0.11</v>
      </c>
      <c r="H21" s="71">
        <v>0.11</v>
      </c>
      <c r="I21" s="71">
        <v>0.11</v>
      </c>
      <c r="J21" s="72">
        <v>0</v>
      </c>
      <c r="L21" s="29"/>
      <c r="M21" s="29"/>
      <c r="N21" s="29"/>
    </row>
    <row r="22" spans="1:14">
      <c r="A22" s="61"/>
      <c r="B22" s="13" t="s">
        <v>18</v>
      </c>
      <c r="C22" s="71">
        <v>0.85634900000000003</v>
      </c>
      <c r="D22" s="57">
        <v>0.84485769230769203</v>
      </c>
      <c r="E22" s="71">
        <v>0.85340754716981104</v>
      </c>
      <c r="F22" s="71">
        <v>0.844392307692308</v>
      </c>
      <c r="G22" s="71">
        <v>0.98020576923076896</v>
      </c>
      <c r="H22" s="71">
        <v>0.98676153846153802</v>
      </c>
      <c r="I22" s="71">
        <v>0.96796923076923103</v>
      </c>
      <c r="J22" s="72">
        <v>-1.9044426601391606E-2</v>
      </c>
      <c r="L22" s="29"/>
      <c r="M22" s="29"/>
      <c r="N22" s="29"/>
    </row>
    <row r="23" spans="1:14">
      <c r="A23" s="55" t="s">
        <v>72</v>
      </c>
      <c r="B23" s="13" t="s">
        <v>17</v>
      </c>
      <c r="C23" s="71">
        <v>0.58450100000000005</v>
      </c>
      <c r="D23" s="57">
        <v>0.43216538461538501</v>
      </c>
      <c r="E23" s="71">
        <v>0.58324339622641497</v>
      </c>
      <c r="F23" s="71">
        <v>0.96319038461538498</v>
      </c>
      <c r="G23" s="71">
        <v>0.87007884615384601</v>
      </c>
      <c r="H23" s="71">
        <v>0.77204038461538504</v>
      </c>
      <c r="I23" s="71">
        <v>0.68545961538461497</v>
      </c>
      <c r="J23" s="72">
        <v>-0.11214538896679982</v>
      </c>
      <c r="L23" s="29"/>
      <c r="M23" s="29"/>
      <c r="N23" s="29"/>
    </row>
    <row r="24" spans="1:14">
      <c r="A24" s="60"/>
      <c r="B24" s="13" t="s">
        <v>49</v>
      </c>
      <c r="C24" s="71">
        <v>0.18819899999999989</v>
      </c>
      <c r="D24" s="57">
        <v>0.18819999999999926</v>
      </c>
      <c r="E24" s="71">
        <v>0.1881984276729558</v>
      </c>
      <c r="F24" s="71">
        <v>0.18819262820513172</v>
      </c>
      <c r="G24" s="71">
        <v>0.188187179487179</v>
      </c>
      <c r="H24" s="71">
        <v>0.2481038461538484</v>
      </c>
      <c r="I24" s="71">
        <v>0.30800032051281834</v>
      </c>
      <c r="J24" s="72">
        <v>0.24141695216537817</v>
      </c>
      <c r="L24" s="29"/>
      <c r="M24" s="29"/>
      <c r="N24" s="29"/>
    </row>
    <row r="25" spans="1:14">
      <c r="A25" s="61"/>
      <c r="B25" s="13" t="s">
        <v>18</v>
      </c>
      <c r="C25" s="71">
        <v>0.92723999999999995</v>
      </c>
      <c r="D25" s="57">
        <v>0.74443846153846105</v>
      </c>
      <c r="E25" s="71">
        <v>0.92573018867924495</v>
      </c>
      <c r="F25" s="71">
        <v>1.3816596153846199</v>
      </c>
      <c r="G25" s="71">
        <v>1.26991923076923</v>
      </c>
      <c r="H25" s="71">
        <v>1.2241730769230801</v>
      </c>
      <c r="I25" s="71">
        <v>1.19215192307692</v>
      </c>
      <c r="J25" s="72">
        <v>-2.615737467993029E-2</v>
      </c>
      <c r="L25" s="29"/>
      <c r="M25" s="29"/>
      <c r="N25" s="29"/>
    </row>
    <row r="27" spans="1:14">
      <c r="A27" s="73" t="s">
        <v>61</v>
      </c>
    </row>
    <row r="28" spans="1:14">
      <c r="A28" s="73" t="s">
        <v>57</v>
      </c>
    </row>
    <row r="29" spans="1:14">
      <c r="A29" s="73" t="s">
        <v>85</v>
      </c>
    </row>
    <row r="30" spans="1:14">
      <c r="A30" s="73"/>
    </row>
    <row r="34" spans="3:17">
      <c r="C34" s="70"/>
      <c r="D34" s="70"/>
      <c r="E34" s="70"/>
      <c r="F34" s="70"/>
      <c r="G34" s="70"/>
      <c r="H34" s="70"/>
      <c r="I34" s="70"/>
      <c r="J34" s="70"/>
    </row>
    <row r="36" spans="3:17">
      <c r="Q36" s="70"/>
    </row>
    <row r="37" spans="3:17">
      <c r="Q37" s="70"/>
    </row>
  </sheetData>
  <mergeCells count="7">
    <mergeCell ref="A20:A22"/>
    <mergeCell ref="A23:A25"/>
    <mergeCell ref="A5:A7"/>
    <mergeCell ref="A8:A10"/>
    <mergeCell ref="A11:A13"/>
    <mergeCell ref="A14:A16"/>
    <mergeCell ref="A17:A19"/>
  </mergeCells>
  <pageMargins left="0.7" right="0.7" top="0.75" bottom="0.75" header="0.3" footer="0.3"/>
  <pageSetup paperSize="9" scale="4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8897-4525-4F6A-ABBD-21F0B0457B70}">
  <dimension ref="A1:V40"/>
  <sheetViews>
    <sheetView showGridLines="0" zoomScaleNormal="100" workbookViewId="0">
      <selection activeCell="D26" sqref="D26"/>
    </sheetView>
  </sheetViews>
  <sheetFormatPr baseColWidth="10" defaultRowHeight="12.75"/>
  <cols>
    <col min="1" max="16384" width="11.42578125" style="20"/>
  </cols>
  <sheetData>
    <row r="1" spans="1:22">
      <c r="A1" s="20" t="s">
        <v>63</v>
      </c>
      <c r="B1" s="20" t="s">
        <v>64</v>
      </c>
      <c r="C1" s="20" t="s">
        <v>24</v>
      </c>
      <c r="D1" s="20" t="s">
        <v>68</v>
      </c>
      <c r="E1" s="20" t="s">
        <v>50</v>
      </c>
    </row>
    <row r="2" spans="1:22">
      <c r="A2" s="20">
        <v>1990</v>
      </c>
      <c r="B2" s="20">
        <v>100</v>
      </c>
      <c r="C2" s="20">
        <v>100</v>
      </c>
      <c r="E2" s="20">
        <v>100</v>
      </c>
      <c r="V2" s="70"/>
    </row>
    <row r="3" spans="1:22">
      <c r="B3" s="20">
        <v>99.125995238382302</v>
      </c>
      <c r="C3" s="20">
        <v>100.757453107158</v>
      </c>
      <c r="E3" s="20">
        <v>103.21492138831201</v>
      </c>
      <c r="V3" s="70"/>
    </row>
    <row r="4" spans="1:22">
      <c r="B4" s="20">
        <v>96.951577413640905</v>
      </c>
      <c r="C4" s="20">
        <v>97.305631698139095</v>
      </c>
      <c r="E4" s="20">
        <v>105.654850192821</v>
      </c>
      <c r="V4" s="70"/>
    </row>
    <row r="5" spans="1:22">
      <c r="B5" s="20">
        <v>100.03592295927599</v>
      </c>
      <c r="C5" s="20">
        <v>103.28348681602399</v>
      </c>
      <c r="E5" s="20">
        <v>107.879709285079</v>
      </c>
      <c r="V5" s="70"/>
    </row>
    <row r="6" spans="1:22">
      <c r="B6" s="20">
        <v>102.802291859875</v>
      </c>
      <c r="C6" s="20">
        <v>108.53757500958601</v>
      </c>
      <c r="E6" s="20">
        <v>109.662068624543</v>
      </c>
      <c r="V6" s="70"/>
    </row>
    <row r="7" spans="1:22">
      <c r="A7" s="20">
        <v>1995</v>
      </c>
      <c r="B7" s="20">
        <v>107.434564955979</v>
      </c>
      <c r="C7" s="20">
        <v>108.315749571103</v>
      </c>
      <c r="E7" s="20">
        <v>111.636013052507</v>
      </c>
      <c r="H7" s="32" t="s">
        <v>62</v>
      </c>
      <c r="V7" s="70"/>
    </row>
    <row r="8" spans="1:22">
      <c r="B8" s="20">
        <v>113.887774471268</v>
      </c>
      <c r="C8" s="20">
        <v>120.572310219706</v>
      </c>
      <c r="E8" s="20">
        <v>113.849747849303</v>
      </c>
      <c r="H8" s="33" t="s">
        <v>67</v>
      </c>
      <c r="V8" s="70"/>
    </row>
    <row r="9" spans="1:22">
      <c r="B9" s="20">
        <v>117.701054461442</v>
      </c>
      <c r="C9" s="20">
        <v>124.827409098125</v>
      </c>
      <c r="D9" s="20">
        <v>100</v>
      </c>
      <c r="E9" s="20">
        <v>115.22050825669901</v>
      </c>
      <c r="V9" s="70"/>
    </row>
    <row r="10" spans="1:22">
      <c r="B10" s="20">
        <v>114.736917410895</v>
      </c>
      <c r="C10" s="20">
        <v>118.551209510547</v>
      </c>
      <c r="D10" s="20">
        <v>96.510420243971296</v>
      </c>
      <c r="E10" s="20">
        <v>115.96583605260599</v>
      </c>
      <c r="V10" s="70"/>
    </row>
    <row r="11" spans="1:22">
      <c r="B11" s="20">
        <v>119.225489232296</v>
      </c>
      <c r="C11" s="20">
        <v>127.33447713539699</v>
      </c>
      <c r="D11" s="20">
        <v>99.330609507373893</v>
      </c>
      <c r="E11" s="20">
        <v>116.596212795412</v>
      </c>
      <c r="V11" s="70"/>
    </row>
    <row r="12" spans="1:22">
      <c r="A12" s="20">
        <v>2000</v>
      </c>
      <c r="B12" s="20">
        <v>136.70000861139701</v>
      </c>
      <c r="C12" s="20">
        <v>156.279151483742</v>
      </c>
      <c r="D12" s="20">
        <v>120.331000686965</v>
      </c>
      <c r="E12" s="20">
        <v>118.54296450113701</v>
      </c>
      <c r="V12" s="70"/>
    </row>
    <row r="13" spans="1:22">
      <c r="B13" s="20">
        <v>129.35526011901101</v>
      </c>
      <c r="C13" s="20">
        <v>146.902548728293</v>
      </c>
      <c r="D13" s="20">
        <v>116.485374159261</v>
      </c>
      <c r="E13" s="20">
        <v>120.484772075546</v>
      </c>
      <c r="V13" s="70"/>
    </row>
    <row r="14" spans="1:22">
      <c r="B14" s="20">
        <v>126.492490756557</v>
      </c>
      <c r="C14" s="20">
        <v>142.54820369074901</v>
      </c>
      <c r="D14" s="20">
        <v>114.216564578188</v>
      </c>
      <c r="E14" s="20">
        <v>122.798625531494</v>
      </c>
      <c r="V14" s="70"/>
    </row>
    <row r="15" spans="1:22">
      <c r="B15" s="20">
        <v>126.297862486678</v>
      </c>
      <c r="C15" s="20">
        <v>146.432473531401</v>
      </c>
      <c r="D15" s="20">
        <v>123.501664594405</v>
      </c>
      <c r="E15" s="20">
        <v>125.379462078513</v>
      </c>
      <c r="V15" s="70"/>
    </row>
    <row r="16" spans="1:22">
      <c r="B16" s="20">
        <v>131.524542010441</v>
      </c>
      <c r="C16" s="20">
        <v>163.27019595318399</v>
      </c>
      <c r="D16" s="20">
        <v>130.06601425234101</v>
      </c>
      <c r="E16" s="20">
        <v>128.06288935034101</v>
      </c>
      <c r="V16" s="70"/>
    </row>
    <row r="17" spans="1:22">
      <c r="A17" s="20">
        <v>2005</v>
      </c>
      <c r="B17" s="20">
        <v>144.737487689576</v>
      </c>
      <c r="C17" s="20">
        <v>189.49324911818701</v>
      </c>
      <c r="D17" s="20">
        <v>147.78960661087601</v>
      </c>
      <c r="E17" s="20">
        <v>130.30010877088901</v>
      </c>
      <c r="V17" s="70"/>
    </row>
    <row r="18" spans="1:22">
      <c r="B18" s="20">
        <v>152.912467420459</v>
      </c>
      <c r="C18" s="20">
        <v>198.85083089640801</v>
      </c>
      <c r="D18" s="20">
        <v>163.23769735735101</v>
      </c>
      <c r="E18" s="20">
        <v>132.482942746959</v>
      </c>
      <c r="V18" s="70"/>
    </row>
    <row r="19" spans="1:22">
      <c r="B19" s="20">
        <v>157.414459086752</v>
      </c>
      <c r="C19" s="20">
        <v>202.06620203876901</v>
      </c>
      <c r="D19" s="20">
        <v>163.46523251349001</v>
      </c>
      <c r="E19" s="20">
        <v>134.45317907643599</v>
      </c>
      <c r="V19" s="70"/>
    </row>
    <row r="20" spans="1:22">
      <c r="B20" s="20">
        <v>166.91088552732</v>
      </c>
      <c r="C20" s="20">
        <v>233.83768887957899</v>
      </c>
      <c r="D20" s="20">
        <v>175.23520641556499</v>
      </c>
      <c r="E20" s="20">
        <v>138.23791159893199</v>
      </c>
      <c r="V20" s="70"/>
    </row>
    <row r="21" spans="1:22">
      <c r="B21" s="20">
        <v>149.03934590048601</v>
      </c>
      <c r="C21" s="20">
        <v>184.98037279961301</v>
      </c>
      <c r="D21" s="20">
        <v>155.05828045505001</v>
      </c>
      <c r="E21" s="20">
        <v>138.35657075051901</v>
      </c>
      <c r="V21" s="70"/>
    </row>
    <row r="22" spans="1:22">
      <c r="A22" s="20">
        <v>2010</v>
      </c>
      <c r="B22" s="20">
        <v>165.93022734285299</v>
      </c>
      <c r="C22" s="20">
        <v>211.628740458094</v>
      </c>
      <c r="D22" s="20">
        <v>169.47928804201501</v>
      </c>
      <c r="E22" s="20">
        <v>140.476367052309</v>
      </c>
      <c r="V22" s="70"/>
    </row>
    <row r="23" spans="1:22">
      <c r="B23" s="20">
        <v>184.70810022369</v>
      </c>
      <c r="C23" s="20">
        <v>246.451455010026</v>
      </c>
      <c r="D23" s="20">
        <v>196.202018784068</v>
      </c>
      <c r="E23" s="20">
        <v>143.45149807178899</v>
      </c>
      <c r="V23" s="70"/>
    </row>
    <row r="24" spans="1:22">
      <c r="B24" s="20">
        <v>193.126595727145</v>
      </c>
      <c r="C24" s="20">
        <v>257.58565355851698</v>
      </c>
      <c r="D24" s="20">
        <v>202.69185161618501</v>
      </c>
      <c r="E24" s="20">
        <v>146.25482052803301</v>
      </c>
      <c r="V24" s="70"/>
    </row>
    <row r="25" spans="1:22">
      <c r="B25" s="20">
        <v>188.772047429319</v>
      </c>
      <c r="C25" s="20">
        <v>249.17138927438</v>
      </c>
      <c r="D25" s="20">
        <v>200.59366820548701</v>
      </c>
      <c r="E25" s="20">
        <v>147.51804607930401</v>
      </c>
      <c r="V25" s="70"/>
    </row>
    <row r="26" spans="1:22">
      <c r="B26" s="20">
        <v>183.10304297424301</v>
      </c>
      <c r="C26" s="20">
        <v>237.25677117378501</v>
      </c>
      <c r="D26" s="20">
        <v>196.76975213482501</v>
      </c>
      <c r="E26" s="20">
        <v>148.267081973697</v>
      </c>
      <c r="V26" s="70"/>
    </row>
    <row r="27" spans="1:22">
      <c r="A27" s="20">
        <v>2015</v>
      </c>
      <c r="B27" s="20">
        <v>167.14845321820499</v>
      </c>
      <c r="C27" s="20">
        <v>212.11299471748299</v>
      </c>
      <c r="D27" s="20">
        <v>180.730511798224</v>
      </c>
      <c r="E27" s="20">
        <v>148.322703451004</v>
      </c>
      <c r="V27" s="70"/>
    </row>
    <row r="28" spans="1:22">
      <c r="B28" s="20">
        <v>160.44509551039499</v>
      </c>
      <c r="C28" s="20">
        <v>204.016015474037</v>
      </c>
      <c r="D28" s="20">
        <v>162.945448685288</v>
      </c>
      <c r="E28" s="20">
        <v>148.59463067339101</v>
      </c>
      <c r="V28" s="70"/>
    </row>
    <row r="29" spans="1:22">
      <c r="B29" s="20">
        <v>169.56422561121201</v>
      </c>
      <c r="C29" s="20">
        <v>227.45986180868499</v>
      </c>
      <c r="D29" s="20">
        <v>170.50967676600001</v>
      </c>
      <c r="E29" s="20">
        <v>150.12854741421901</v>
      </c>
      <c r="V29" s="70"/>
    </row>
    <row r="30" spans="1:22">
      <c r="B30" s="20">
        <v>185.131144179231</v>
      </c>
      <c r="C30" s="20">
        <v>265.22805131974798</v>
      </c>
      <c r="D30" s="20">
        <v>188.63543657519699</v>
      </c>
      <c r="E30" s="20">
        <v>152.907149213883</v>
      </c>
      <c r="V30" s="70"/>
    </row>
    <row r="31" spans="1:22">
      <c r="B31" s="20">
        <v>184.99490671036099</v>
      </c>
      <c r="C31" s="20">
        <v>265.83247721296499</v>
      </c>
      <c r="D31" s="20">
        <v>196.74116665016001</v>
      </c>
      <c r="E31" s="20">
        <v>154.601750222486</v>
      </c>
      <c r="V31" s="70"/>
    </row>
    <row r="32" spans="1:22">
      <c r="A32" s="20">
        <v>2020</v>
      </c>
      <c r="B32" s="20">
        <v>166.962688295525</v>
      </c>
      <c r="C32" s="20">
        <v>232.507888032951</v>
      </c>
      <c r="D32" s="20">
        <v>194.10118447834901</v>
      </c>
      <c r="E32" s="20">
        <v>155.33842578858901</v>
      </c>
      <c r="V32" s="70"/>
    </row>
    <row r="33" spans="1:22">
      <c r="B33" s="20">
        <v>190.424656548423</v>
      </c>
      <c r="C33" s="20">
        <v>263.92335243863698</v>
      </c>
      <c r="D33" s="20">
        <v>196.065464345793</v>
      </c>
      <c r="E33" s="20">
        <v>157.88959754771099</v>
      </c>
      <c r="V33" s="70"/>
    </row>
    <row r="34" spans="1:22">
      <c r="B34" s="20">
        <v>219.95093875684199</v>
      </c>
      <c r="C34" s="20">
        <v>341.10758071246403</v>
      </c>
      <c r="D34" s="20">
        <v>193.99426504575399</v>
      </c>
      <c r="E34" s="20">
        <v>166.135172550183</v>
      </c>
      <c r="V34" s="70"/>
    </row>
    <row r="35" spans="1:22">
      <c r="B35" s="20">
        <v>230.31044963376499</v>
      </c>
      <c r="C35" s="20">
        <v>331.220137000958</v>
      </c>
      <c r="D35" s="20">
        <v>225.19662491385799</v>
      </c>
      <c r="E35" s="20">
        <v>174.23983981014501</v>
      </c>
      <c r="V35" s="70"/>
    </row>
    <row r="36" spans="1:22">
      <c r="B36" s="20">
        <v>221.88301740142299</v>
      </c>
      <c r="C36" s="20">
        <v>312.69129461998699</v>
      </c>
      <c r="D36" s="20">
        <v>226.702775102754</v>
      </c>
      <c r="E36" s="20">
        <v>177.72298032235699</v>
      </c>
      <c r="V36" s="70"/>
    </row>
    <row r="37" spans="1:22">
      <c r="A37" s="20">
        <v>2025</v>
      </c>
      <c r="B37" s="20">
        <v>210.459771914924</v>
      </c>
      <c r="C37" s="20">
        <v>298.69981648350802</v>
      </c>
      <c r="D37" s="20">
        <v>222.38535074197799</v>
      </c>
      <c r="E37" s="20">
        <v>179.40027687135401</v>
      </c>
      <c r="H37" s="46" t="s">
        <v>66</v>
      </c>
    </row>
    <row r="38" spans="1:22">
      <c r="H38" s="46" t="s">
        <v>65</v>
      </c>
    </row>
    <row r="39" spans="1:22">
      <c r="E39" s="29"/>
      <c r="H39" s="47" t="s">
        <v>57</v>
      </c>
    </row>
    <row r="40" spans="1:22">
      <c r="B40" s="29"/>
      <c r="C40" s="29"/>
      <c r="D40" s="29"/>
      <c r="E40" s="29"/>
      <c r="H40" s="48" t="s">
        <v>83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V20"/>
  <sheetViews>
    <sheetView showGridLines="0" zoomScaleNormal="100" workbookViewId="0">
      <selection activeCell="D26" sqref="D26"/>
    </sheetView>
  </sheetViews>
  <sheetFormatPr baseColWidth="10" defaultRowHeight="12.75"/>
  <cols>
    <col min="1" max="1" width="1.140625" style="20" customWidth="1"/>
    <col min="2" max="2" width="36.85546875" style="20" customWidth="1"/>
    <col min="3" max="3" width="17.85546875" style="20" customWidth="1"/>
    <col min="4" max="4" width="6.7109375" style="20" customWidth="1"/>
    <col min="5" max="5" width="6.5703125" style="20" customWidth="1"/>
    <col min="6" max="6" width="8.85546875" style="20" customWidth="1"/>
    <col min="7" max="7" width="6.85546875" style="20" customWidth="1"/>
    <col min="8" max="8" width="6.42578125" style="20" customWidth="1"/>
    <col min="9" max="9" width="6.85546875" style="20" customWidth="1"/>
    <col min="10" max="10" width="6.42578125" style="20" customWidth="1"/>
    <col min="11" max="11" width="21.5703125" style="20" customWidth="1"/>
    <col min="12" max="12" width="11.42578125" style="20"/>
    <col min="13" max="18" width="11.42578125" style="51"/>
    <col min="19" max="16384" width="11.42578125" style="20"/>
  </cols>
  <sheetData>
    <row r="1" spans="2:22">
      <c r="B1" s="50" t="s">
        <v>28</v>
      </c>
      <c r="C1" s="40"/>
      <c r="D1" s="40"/>
      <c r="E1" s="40"/>
      <c r="F1" s="40"/>
      <c r="G1" s="40"/>
      <c r="H1" s="40"/>
      <c r="I1" s="40"/>
      <c r="J1" s="40"/>
    </row>
    <row r="2" spans="2:22">
      <c r="B2" s="52" t="s">
        <v>15</v>
      </c>
      <c r="C2" s="40"/>
      <c r="D2" s="40"/>
      <c r="E2" s="40"/>
      <c r="F2" s="40"/>
      <c r="G2" s="40"/>
      <c r="H2" s="40"/>
      <c r="I2" s="40"/>
      <c r="J2" s="40"/>
    </row>
    <row r="3" spans="2:22" ht="16.5" customHeight="1">
      <c r="B3" s="53"/>
      <c r="C3" s="53"/>
      <c r="D3" s="54">
        <v>2019</v>
      </c>
      <c r="E3" s="54">
        <v>2020</v>
      </c>
      <c r="F3" s="54">
        <v>2021</v>
      </c>
      <c r="G3" s="54">
        <v>2022</v>
      </c>
      <c r="H3" s="54">
        <v>2023</v>
      </c>
      <c r="I3" s="54">
        <v>2024</v>
      </c>
      <c r="J3" s="54">
        <v>2025</v>
      </c>
      <c r="K3" s="54" t="s">
        <v>58</v>
      </c>
      <c r="L3" s="51"/>
      <c r="O3" s="20"/>
      <c r="P3" s="20"/>
      <c r="Q3" s="20"/>
      <c r="R3" s="20"/>
    </row>
    <row r="4" spans="2:22">
      <c r="B4" s="55" t="s">
        <v>29</v>
      </c>
      <c r="C4" s="56" t="s">
        <v>17</v>
      </c>
      <c r="D4" s="57">
        <v>0.61943730769230798</v>
      </c>
      <c r="E4" s="57">
        <v>0.479992307692308</v>
      </c>
      <c r="F4" s="57">
        <v>0.59769245283018901</v>
      </c>
      <c r="G4" s="57">
        <v>1.0788903846153799</v>
      </c>
      <c r="H4" s="57">
        <v>0.89772307692307696</v>
      </c>
      <c r="I4" s="57">
        <v>0.84415576923076896</v>
      </c>
      <c r="J4" s="57">
        <v>0.78832115384615398</v>
      </c>
      <c r="K4" s="58">
        <v>-6.614255024933835E-2</v>
      </c>
      <c r="N4" s="59"/>
      <c r="O4" s="59"/>
      <c r="P4" s="59">
        <f t="shared" ref="P4:P12" si="0">J4/I4-1</f>
        <v>-6.614255024933835E-2</v>
      </c>
      <c r="Q4" s="20"/>
      <c r="R4" s="20"/>
    </row>
    <row r="5" spans="2:22">
      <c r="B5" s="60"/>
      <c r="C5" s="56" t="s">
        <v>49</v>
      </c>
      <c r="D5" s="57">
        <v>0.15620339743589706</v>
      </c>
      <c r="E5" s="57">
        <v>0.15620160256410201</v>
      </c>
      <c r="F5" s="57">
        <v>0.156192767295597</v>
      </c>
      <c r="G5" s="57">
        <v>0.15619935897435999</v>
      </c>
      <c r="H5" s="57">
        <v>0.156200000000003</v>
      </c>
      <c r="I5" s="57">
        <v>0.156198397435901</v>
      </c>
      <c r="J5" s="57">
        <v>0.156198397435901</v>
      </c>
      <c r="K5" s="58">
        <v>0</v>
      </c>
      <c r="N5" s="59"/>
      <c r="O5" s="59"/>
      <c r="P5" s="59">
        <f t="shared" si="0"/>
        <v>0</v>
      </c>
      <c r="Q5" s="20"/>
      <c r="R5" s="20"/>
    </row>
    <row r="6" spans="2:22">
      <c r="B6" s="61"/>
      <c r="C6" s="56" t="s">
        <v>18</v>
      </c>
      <c r="D6" s="57">
        <v>0.93076884615384603</v>
      </c>
      <c r="E6" s="57">
        <v>0.76343269230769195</v>
      </c>
      <c r="F6" s="57">
        <v>0.90466226415094297</v>
      </c>
      <c r="G6" s="57">
        <v>1.4821076923076899</v>
      </c>
      <c r="H6" s="57">
        <v>1.2647076923076901</v>
      </c>
      <c r="I6" s="57">
        <v>1.2004250000000001</v>
      </c>
      <c r="J6" s="57">
        <v>1.13247115384615</v>
      </c>
      <c r="K6" s="58">
        <v>-5.6608156406147803E-2</v>
      </c>
      <c r="N6" s="59"/>
      <c r="O6" s="59"/>
      <c r="P6" s="59">
        <f t="shared" si="0"/>
        <v>-5.6608156406147803E-2</v>
      </c>
      <c r="Q6" s="20"/>
      <c r="R6" s="20"/>
    </row>
    <row r="7" spans="2:22">
      <c r="B7" s="55" t="s">
        <v>30</v>
      </c>
      <c r="C7" s="56" t="s">
        <v>17</v>
      </c>
      <c r="D7" s="14">
        <v>118.854537504893</v>
      </c>
      <c r="E7" s="14">
        <v>116.541684061745</v>
      </c>
      <c r="F7" s="14">
        <v>118.736918756763</v>
      </c>
      <c r="G7" s="14">
        <v>125.386171492339</v>
      </c>
      <c r="H7" s="14">
        <v>133.27923878436499</v>
      </c>
      <c r="I7" s="14">
        <v>136.90865338447</v>
      </c>
      <c r="J7" s="14">
        <v>137.374695675395</v>
      </c>
      <c r="K7" s="62">
        <v>3.4040382357443111E-3</v>
      </c>
      <c r="N7" s="59"/>
      <c r="O7" s="59"/>
      <c r="P7" s="59">
        <f t="shared" si="0"/>
        <v>3.4040382357443111E-3</v>
      </c>
      <c r="Q7" s="20"/>
      <c r="R7" s="20"/>
    </row>
    <row r="8" spans="2:22">
      <c r="B8" s="60"/>
      <c r="C8" s="56" t="s">
        <v>49</v>
      </c>
      <c r="D8" s="14">
        <v>5.187793427229991</v>
      </c>
      <c r="E8" s="14">
        <v>5.1877934272299902</v>
      </c>
      <c r="F8" s="14">
        <v>5.1877934272299999</v>
      </c>
      <c r="G8" s="14">
        <v>5.1877934272299902</v>
      </c>
      <c r="H8" s="14">
        <v>5.1877934272300097</v>
      </c>
      <c r="I8" s="14">
        <v>5.1877934272299902</v>
      </c>
      <c r="J8" s="14">
        <v>5.1877934272299902</v>
      </c>
      <c r="K8" s="62">
        <v>0</v>
      </c>
      <c r="N8" s="59"/>
      <c r="O8" s="59"/>
      <c r="P8" s="59">
        <f t="shared" si="0"/>
        <v>0</v>
      </c>
      <c r="Q8" s="20"/>
      <c r="R8" s="20"/>
    </row>
    <row r="9" spans="2:22">
      <c r="B9" s="61"/>
      <c r="C9" s="56" t="s">
        <v>18</v>
      </c>
      <c r="D9" s="63">
        <v>148.850797118548</v>
      </c>
      <c r="E9" s="63">
        <v>146.075372986769</v>
      </c>
      <c r="F9" s="63">
        <v>148.709654620793</v>
      </c>
      <c r="G9" s="63">
        <v>156.68875790348301</v>
      </c>
      <c r="H9" s="63">
        <v>166.16043865391501</v>
      </c>
      <c r="I9" s="63">
        <v>170.515736174041</v>
      </c>
      <c r="J9" s="63">
        <v>171.074986923149</v>
      </c>
      <c r="K9" s="64">
        <v>3.2797603415157806E-3</v>
      </c>
      <c r="N9" s="59"/>
      <c r="O9" s="59"/>
      <c r="P9" s="59">
        <f t="shared" si="0"/>
        <v>3.2797603415157806E-3</v>
      </c>
      <c r="Q9" s="65"/>
      <c r="R9" s="65"/>
    </row>
    <row r="10" spans="2:22" ht="15" customHeight="1">
      <c r="B10" s="55" t="s">
        <v>31</v>
      </c>
      <c r="C10" s="56" t="s">
        <v>17</v>
      </c>
      <c r="D10" s="66">
        <v>27.888100000000001</v>
      </c>
      <c r="E10" s="66">
        <v>28.205957142856999</v>
      </c>
      <c r="F10" s="67">
        <v>28.4672666666666</v>
      </c>
      <c r="G10" s="66">
        <v>31.274905555555499</v>
      </c>
      <c r="H10" s="66">
        <v>33.530461111111102</v>
      </c>
      <c r="I10" s="66">
        <v>34.256155555555601</v>
      </c>
      <c r="J10" s="66">
        <v>34.8749055555556</v>
      </c>
      <c r="K10" s="62">
        <v>1.8062447170889673E-2</v>
      </c>
      <c r="N10" s="59"/>
      <c r="O10" s="59"/>
      <c r="P10" s="59">
        <f t="shared" si="0"/>
        <v>1.8062447170889673E-2</v>
      </c>
      <c r="Q10" s="20"/>
      <c r="R10" s="20"/>
    </row>
    <row r="11" spans="2:22">
      <c r="B11" s="60"/>
      <c r="C11" s="56" t="s">
        <v>49</v>
      </c>
      <c r="D11" s="66">
        <v>0.86189999999999856</v>
      </c>
      <c r="E11" s="66">
        <v>0.861900000000002</v>
      </c>
      <c r="F11" s="67">
        <v>0.861900000000002</v>
      </c>
      <c r="G11" s="66">
        <v>0.861899999999999</v>
      </c>
      <c r="H11" s="66">
        <v>0.861899999999999</v>
      </c>
      <c r="I11" s="66">
        <v>0.861899999999999</v>
      </c>
      <c r="J11" s="66">
        <v>0.861899999999999</v>
      </c>
      <c r="K11" s="62">
        <v>0</v>
      </c>
      <c r="N11" s="59"/>
      <c r="O11" s="59"/>
      <c r="P11" s="59">
        <f t="shared" si="0"/>
        <v>0</v>
      </c>
      <c r="Q11" s="20"/>
      <c r="R11" s="20"/>
    </row>
    <row r="12" spans="2:22">
      <c r="B12" s="61"/>
      <c r="C12" s="56" t="s">
        <v>18</v>
      </c>
      <c r="D12" s="66">
        <v>34.5</v>
      </c>
      <c r="E12" s="66">
        <v>34.8814285714286</v>
      </c>
      <c r="F12" s="67">
        <v>35.195</v>
      </c>
      <c r="G12" s="66">
        <v>38.564166666666701</v>
      </c>
      <c r="H12" s="66">
        <v>41.2708333333333</v>
      </c>
      <c r="I12" s="66">
        <v>42.141666666666701</v>
      </c>
      <c r="J12" s="66">
        <v>42.884166666666701</v>
      </c>
      <c r="K12" s="62">
        <v>1.7619141783666192E-2</v>
      </c>
      <c r="N12" s="59"/>
      <c r="O12" s="59"/>
      <c r="P12" s="59">
        <f t="shared" si="0"/>
        <v>1.7619141783666192E-2</v>
      </c>
      <c r="Q12" s="45"/>
      <c r="R12" s="20"/>
    </row>
    <row r="13" spans="2:22">
      <c r="B13" s="47" t="s">
        <v>69</v>
      </c>
      <c r="U13" s="65"/>
      <c r="V13" s="65"/>
    </row>
    <row r="14" spans="2:22">
      <c r="B14" s="47" t="s">
        <v>74</v>
      </c>
      <c r="Q14" s="68"/>
      <c r="R14" s="68"/>
    </row>
    <row r="15" spans="2:22">
      <c r="B15" s="47" t="s">
        <v>82</v>
      </c>
    </row>
    <row r="16" spans="2:22">
      <c r="B16" s="48"/>
    </row>
    <row r="18" spans="4:14">
      <c r="D18" s="69"/>
      <c r="E18" s="69"/>
      <c r="F18" s="69"/>
      <c r="G18" s="69"/>
      <c r="H18" s="69"/>
      <c r="I18" s="69"/>
      <c r="J18" s="69"/>
      <c r="K18" s="69"/>
      <c r="L18" s="69"/>
      <c r="M18" s="69"/>
      <c r="N18" s="69"/>
    </row>
    <row r="19" spans="4:14">
      <c r="D19" s="69"/>
      <c r="E19" s="69"/>
      <c r="F19" s="69"/>
      <c r="G19" s="69"/>
      <c r="H19" s="69"/>
      <c r="I19" s="69"/>
      <c r="J19" s="69"/>
      <c r="K19" s="69"/>
      <c r="L19" s="69"/>
      <c r="M19" s="69"/>
      <c r="N19" s="69"/>
    </row>
    <row r="20" spans="4:14">
      <c r="D20" s="69"/>
      <c r="E20" s="69"/>
      <c r="F20" s="69"/>
      <c r="G20" s="69"/>
      <c r="H20" s="69"/>
      <c r="I20" s="69"/>
      <c r="J20" s="69"/>
      <c r="K20" s="69"/>
      <c r="L20" s="69"/>
      <c r="M20" s="69"/>
      <c r="N20" s="69"/>
    </row>
  </sheetData>
  <mergeCells count="3">
    <mergeCell ref="B4:B6"/>
    <mergeCell ref="B7:B9"/>
    <mergeCell ref="B10:B12"/>
  </mergeCells>
  <pageMargins left="0.7" right="0.7" top="0.75" bottom="0.75" header="0.3" footer="0.3"/>
  <pageSetup paperSize="9" scale="4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2B30D-FC39-43C9-A295-D16ED0EEF520}">
  <dimension ref="A1:J37"/>
  <sheetViews>
    <sheetView showGridLines="0" zoomScaleNormal="100" workbookViewId="0">
      <selection activeCell="D26" sqref="D26"/>
    </sheetView>
  </sheetViews>
  <sheetFormatPr baseColWidth="10" defaultRowHeight="12.75"/>
  <cols>
    <col min="1" max="16384" width="11.42578125" style="20"/>
  </cols>
  <sheetData>
    <row r="1" spans="1:10">
      <c r="A1" s="20" t="s">
        <v>63</v>
      </c>
      <c r="B1" s="20" t="s">
        <v>51</v>
      </c>
      <c r="C1" s="20" t="s">
        <v>52</v>
      </c>
      <c r="D1" s="20" t="s">
        <v>53</v>
      </c>
      <c r="E1" s="20" t="s">
        <v>50</v>
      </c>
    </row>
    <row r="2" spans="1:10">
      <c r="A2" s="20">
        <v>1990</v>
      </c>
      <c r="B2" s="20">
        <v>100</v>
      </c>
      <c r="C2" s="20">
        <v>100</v>
      </c>
      <c r="D2" s="20">
        <v>100</v>
      </c>
      <c r="E2" s="20">
        <v>100</v>
      </c>
    </row>
    <row r="3" spans="1:10">
      <c r="B3" s="20">
        <v>88.725363945202901</v>
      </c>
      <c r="C3" s="20">
        <v>108.21550971931001</v>
      </c>
      <c r="D3" s="20">
        <v>102.944401680122</v>
      </c>
      <c r="E3" s="20">
        <v>103.21492138831201</v>
      </c>
    </row>
    <row r="4" spans="1:10">
      <c r="B4" s="20">
        <v>91.621073961499704</v>
      </c>
      <c r="C4" s="20">
        <v>108.35682802724401</v>
      </c>
      <c r="D4" s="20">
        <v>91.828959708378207</v>
      </c>
      <c r="E4" s="20">
        <v>105.654850192821</v>
      </c>
    </row>
    <row r="5" spans="1:10">
      <c r="B5" s="20">
        <v>92.396428607154107</v>
      </c>
      <c r="C5" s="20">
        <v>106.515628348256</v>
      </c>
      <c r="D5" s="20">
        <v>93.823244680285697</v>
      </c>
      <c r="E5" s="20">
        <v>107.879709285079</v>
      </c>
    </row>
    <row r="6" spans="1:10">
      <c r="B6" s="20">
        <v>92.5902672685677</v>
      </c>
      <c r="C6" s="20">
        <v>107.08202204229499</v>
      </c>
      <c r="D6" s="20">
        <v>91.377115710231095</v>
      </c>
      <c r="E6" s="20">
        <v>109.662068624543</v>
      </c>
    </row>
    <row r="7" spans="1:10">
      <c r="A7" s="20">
        <v>1995</v>
      </c>
      <c r="B7" s="20">
        <v>93.8825250113251</v>
      </c>
      <c r="C7" s="20">
        <v>121.37694872904601</v>
      </c>
      <c r="D7" s="20">
        <v>89.644271585246599</v>
      </c>
      <c r="E7" s="20">
        <v>111.636013052507</v>
      </c>
    </row>
    <row r="8" spans="1:10">
      <c r="B8" s="20">
        <v>97.888524013872996</v>
      </c>
      <c r="C8" s="20">
        <v>128.610759799493</v>
      </c>
      <c r="D8" s="20">
        <v>98.395832892586398</v>
      </c>
      <c r="E8" s="20">
        <v>113.849747849303</v>
      </c>
      <c r="J8" s="32" t="s">
        <v>80</v>
      </c>
    </row>
    <row r="9" spans="1:10">
      <c r="B9" s="20">
        <v>106.805102438898</v>
      </c>
      <c r="C9" s="20">
        <v>146.23103652567099</v>
      </c>
      <c r="D9" s="20">
        <v>103.366099559175</v>
      </c>
      <c r="E9" s="20">
        <v>115.22050825669901</v>
      </c>
      <c r="J9" s="33" t="s">
        <v>55</v>
      </c>
    </row>
    <row r="10" spans="1:10">
      <c r="B10" s="20">
        <v>111.198778764274</v>
      </c>
      <c r="C10" s="20">
        <v>145.97191281122599</v>
      </c>
      <c r="D10" s="20">
        <v>88.593983283205901</v>
      </c>
      <c r="E10" s="20">
        <v>115.96583605260599</v>
      </c>
      <c r="J10" s="49"/>
    </row>
    <row r="11" spans="1:10">
      <c r="B11" s="20">
        <v>113.00793960413399</v>
      </c>
      <c r="C11" s="20">
        <v>138.34941476853299</v>
      </c>
      <c r="D11" s="20">
        <v>96.658684582561506</v>
      </c>
      <c r="E11" s="20">
        <v>116.596212795412</v>
      </c>
    </row>
    <row r="12" spans="1:10">
      <c r="A12" s="20">
        <v>2000</v>
      </c>
      <c r="B12" s="20">
        <v>128.90270984004999</v>
      </c>
      <c r="C12" s="20">
        <v>157.39486632184401</v>
      </c>
      <c r="D12" s="20">
        <v>136.16865910910701</v>
      </c>
      <c r="E12" s="20">
        <v>118.54296450113701</v>
      </c>
    </row>
    <row r="13" spans="1:10">
      <c r="B13" s="20">
        <v>142.27757747758901</v>
      </c>
      <c r="C13" s="20">
        <v>161.04416722339599</v>
      </c>
      <c r="D13" s="20">
        <v>115.75224685050399</v>
      </c>
      <c r="E13" s="20">
        <v>120.484772075546</v>
      </c>
    </row>
    <row r="14" spans="1:10">
      <c r="B14" s="20">
        <v>143.82828676889801</v>
      </c>
      <c r="C14" s="20">
        <v>159.73186636806301</v>
      </c>
      <c r="D14" s="20">
        <v>107.66442815724599</v>
      </c>
      <c r="E14" s="20">
        <v>122.798625531494</v>
      </c>
    </row>
    <row r="15" spans="1:10">
      <c r="B15" s="20">
        <v>151.129543015477</v>
      </c>
      <c r="C15" s="20">
        <v>176.34670605091699</v>
      </c>
      <c r="D15" s="20">
        <v>114.62415389854</v>
      </c>
      <c r="E15" s="20">
        <v>125.379462078513</v>
      </c>
    </row>
    <row r="16" spans="1:10">
      <c r="B16" s="20">
        <v>156.68625130933501</v>
      </c>
      <c r="C16" s="20">
        <v>181.36089950713699</v>
      </c>
      <c r="D16" s="20">
        <v>132.38322767821501</v>
      </c>
      <c r="E16" s="20">
        <v>128.06288935034101</v>
      </c>
    </row>
    <row r="17" spans="1:10">
      <c r="A17" s="20">
        <v>2005</v>
      </c>
      <c r="B17" s="20">
        <v>164.89208797584399</v>
      </c>
      <c r="C17" s="20">
        <v>207.06926557897799</v>
      </c>
      <c r="D17" s="20">
        <v>172.821967832447</v>
      </c>
      <c r="E17" s="20">
        <v>130.30010877088901</v>
      </c>
    </row>
    <row r="18" spans="1:10">
      <c r="B18" s="20">
        <v>173.033311755216</v>
      </c>
      <c r="C18" s="20">
        <v>229.76062723479799</v>
      </c>
      <c r="D18" s="20">
        <v>190.86486303526399</v>
      </c>
      <c r="E18" s="20">
        <v>132.482942746959</v>
      </c>
    </row>
    <row r="19" spans="1:10">
      <c r="B19" s="20">
        <v>175.35937569217899</v>
      </c>
      <c r="C19" s="20">
        <v>233.50002731126901</v>
      </c>
      <c r="D19" s="20">
        <v>191.526831909121</v>
      </c>
      <c r="E19" s="20">
        <v>134.45317907643599</v>
      </c>
    </row>
    <row r="20" spans="1:10">
      <c r="B20" s="20">
        <v>185.11592164999701</v>
      </c>
      <c r="C20" s="20">
        <v>263.62769278604401</v>
      </c>
      <c r="D20" s="20">
        <v>245.12424506240399</v>
      </c>
      <c r="E20" s="20">
        <v>138.23791159893199</v>
      </c>
    </row>
    <row r="21" spans="1:10">
      <c r="B21" s="20">
        <v>181.43298708313901</v>
      </c>
      <c r="C21" s="20">
        <v>229.48580584349099</v>
      </c>
      <c r="D21" s="20">
        <v>169.33503264477201</v>
      </c>
      <c r="E21" s="20">
        <v>138.35657075051901</v>
      </c>
    </row>
    <row r="22" spans="1:10">
      <c r="A22" s="20">
        <v>2010</v>
      </c>
      <c r="B22" s="20">
        <v>181.885277293104</v>
      </c>
      <c r="C22" s="20">
        <v>244.62521236262</v>
      </c>
      <c r="D22" s="20">
        <v>210.64487942818801</v>
      </c>
      <c r="E22" s="20">
        <v>140.476367052309</v>
      </c>
    </row>
    <row r="23" spans="1:10">
      <c r="B23" s="20">
        <v>195.06630626922899</v>
      </c>
      <c r="C23" s="20">
        <v>280.725667410374</v>
      </c>
      <c r="D23" s="20">
        <v>261.21857547756099</v>
      </c>
      <c r="E23" s="20">
        <v>143.45149807178899</v>
      </c>
    </row>
    <row r="24" spans="1:10">
      <c r="B24" s="20">
        <v>205.14591666273699</v>
      </c>
      <c r="C24" s="20">
        <v>301.02676364267802</v>
      </c>
      <c r="D24" s="20">
        <v>285.04209972669997</v>
      </c>
      <c r="E24" s="20">
        <v>146.25482052803301</v>
      </c>
    </row>
    <row r="25" spans="1:10">
      <c r="B25" s="20">
        <v>212.31794713503999</v>
      </c>
      <c r="C25" s="20">
        <v>285.07917357040401</v>
      </c>
      <c r="D25" s="20">
        <v>272.79963605788299</v>
      </c>
      <c r="E25" s="20">
        <v>147.51804607930401</v>
      </c>
    </row>
    <row r="26" spans="1:10">
      <c r="B26" s="20">
        <v>210.83185073086901</v>
      </c>
      <c r="C26" s="20">
        <v>287.35080660165198</v>
      </c>
      <c r="D26" s="20">
        <v>252.993187880867</v>
      </c>
      <c r="E26" s="20">
        <v>148.267081973697</v>
      </c>
    </row>
    <row r="27" spans="1:10">
      <c r="A27" s="20">
        <v>2015</v>
      </c>
      <c r="B27" s="20">
        <v>210.11034015783</v>
      </c>
      <c r="C27" s="20">
        <v>269.820072374181</v>
      </c>
      <c r="D27" s="20">
        <v>207.66472779717401</v>
      </c>
      <c r="E27" s="20">
        <v>148.322703451004</v>
      </c>
    </row>
    <row r="28" spans="1:10">
      <c r="B28" s="20">
        <v>206.712779175831</v>
      </c>
      <c r="C28" s="20">
        <v>256.238958382443</v>
      </c>
      <c r="D28" s="20">
        <v>187.59615019429799</v>
      </c>
      <c r="E28" s="20">
        <v>148.59463067339101</v>
      </c>
    </row>
    <row r="29" spans="1:10">
      <c r="B29" s="20">
        <v>204.62362915837201</v>
      </c>
      <c r="C29" s="20">
        <v>282.69486360719702</v>
      </c>
      <c r="D29" s="20">
        <v>218.06069435768401</v>
      </c>
      <c r="E29" s="20">
        <v>150.12854741421901</v>
      </c>
    </row>
    <row r="30" spans="1:10">
      <c r="B30" s="20">
        <v>212.96946041368</v>
      </c>
      <c r="C30" s="20">
        <v>307.25383164637401</v>
      </c>
      <c r="D30" s="20">
        <v>268.18831561976702</v>
      </c>
      <c r="E30" s="20">
        <v>152.907149213883</v>
      </c>
    </row>
    <row r="31" spans="1:10">
      <c r="B31" s="20">
        <v>222.914460625651</v>
      </c>
      <c r="C31" s="20">
        <v>319.72053213696699</v>
      </c>
      <c r="D31" s="20">
        <v>273.84000218202698</v>
      </c>
      <c r="E31" s="20">
        <v>154.601750222486</v>
      </c>
    </row>
    <row r="32" spans="1:10">
      <c r="A32" s="20">
        <v>2020</v>
      </c>
      <c r="B32" s="20">
        <v>225.37898074933801</v>
      </c>
      <c r="C32" s="20">
        <v>313.75912583283298</v>
      </c>
      <c r="D32" s="20">
        <v>223.97034507889299</v>
      </c>
      <c r="E32" s="20">
        <v>155.33842578858901</v>
      </c>
      <c r="J32" s="47" t="s">
        <v>74</v>
      </c>
    </row>
    <row r="33" spans="1:10">
      <c r="B33" s="20">
        <v>227.40505628173301</v>
      </c>
      <c r="C33" s="20">
        <v>319.417368463255</v>
      </c>
      <c r="D33" s="20">
        <v>265.40325234078</v>
      </c>
      <c r="E33" s="20">
        <v>157.88959754771099</v>
      </c>
      <c r="J33" s="48" t="s">
        <v>81</v>
      </c>
    </row>
    <row r="34" spans="1:10">
      <c r="B34" s="20">
        <v>249.174214839934</v>
      </c>
      <c r="C34" s="20">
        <v>336.555893730847</v>
      </c>
      <c r="D34" s="20">
        <v>434.81000307548697</v>
      </c>
      <c r="E34" s="20">
        <v>166.135172550183</v>
      </c>
    </row>
    <row r="35" spans="1:10">
      <c r="B35" s="20">
        <v>266.66276962525097</v>
      </c>
      <c r="C35" s="20">
        <v>356.90036529822402</v>
      </c>
      <c r="D35" s="20">
        <v>371.03076816616198</v>
      </c>
      <c r="E35" s="20">
        <v>174.23983981014501</v>
      </c>
    </row>
    <row r="36" spans="1:10">
      <c r="B36" s="20">
        <v>272.28947521350602</v>
      </c>
      <c r="C36" s="20">
        <v>366.25522310016601</v>
      </c>
      <c r="D36" s="20">
        <v>352.17197822459701</v>
      </c>
      <c r="E36" s="20">
        <v>177.72298032235699</v>
      </c>
    </row>
    <row r="37" spans="1:10">
      <c r="A37" s="20">
        <v>2025</v>
      </c>
      <c r="B37" s="20">
        <v>277.08698208349398</v>
      </c>
      <c r="C37" s="20">
        <v>367.45645245576299</v>
      </c>
      <c r="D37" s="20">
        <v>332.23617179939703</v>
      </c>
      <c r="E37" s="20">
        <v>179.40027687135401</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2911-46AF-4381-8A62-07DC98E09E9E}">
  <dimension ref="A1:D26"/>
  <sheetViews>
    <sheetView showGridLines="0" zoomScaleNormal="100" workbookViewId="0">
      <selection activeCell="A3" sqref="A1:XFD3"/>
    </sheetView>
  </sheetViews>
  <sheetFormatPr baseColWidth="10" defaultRowHeight="12.75"/>
  <cols>
    <col min="1" max="1" width="19.42578125" style="20" customWidth="1"/>
    <col min="2" max="3" width="11.42578125" style="20"/>
    <col min="4" max="4" width="15.7109375" style="20" customWidth="1"/>
    <col min="5" max="16384" width="11.42578125" style="20"/>
  </cols>
  <sheetData>
    <row r="1" spans="1:4">
      <c r="A1" s="20" t="s">
        <v>63</v>
      </c>
      <c r="B1" s="20" t="s">
        <v>54</v>
      </c>
      <c r="C1" s="20">
        <v>2025</v>
      </c>
    </row>
    <row r="2" spans="1:4">
      <c r="A2" s="20" t="s">
        <v>51</v>
      </c>
      <c r="B2" s="45">
        <v>209.62449872402499</v>
      </c>
      <c r="C2" s="45">
        <v>260.56730262891398</v>
      </c>
    </row>
    <row r="3" spans="1:4">
      <c r="A3" s="20" t="s">
        <v>52</v>
      </c>
      <c r="B3" s="45">
        <v>148.850797118548</v>
      </c>
      <c r="C3" s="45">
        <v>171.07498692314999</v>
      </c>
    </row>
    <row r="4" spans="1:4">
      <c r="A4" s="20" t="s">
        <v>53</v>
      </c>
      <c r="B4" s="45">
        <v>93.3475926340233</v>
      </c>
      <c r="C4" s="45">
        <v>113.253894888601</v>
      </c>
    </row>
    <row r="8" spans="1:4">
      <c r="D8" s="32" t="s">
        <v>56</v>
      </c>
    </row>
    <row r="9" spans="1:4">
      <c r="D9" s="33" t="s">
        <v>70</v>
      </c>
    </row>
    <row r="24" spans="4:4">
      <c r="D24" s="46" t="s">
        <v>42</v>
      </c>
    </row>
    <row r="25" spans="4:4">
      <c r="D25" s="47" t="s">
        <v>74</v>
      </c>
    </row>
    <row r="26" spans="4:4">
      <c r="D26" s="48" t="s">
        <v>79</v>
      </c>
    </row>
  </sheetData>
  <pageMargins left="0.7" right="0.7" top="0.75" bottom="0.75" header="0.3" footer="0.3"/>
  <pageSetup paperSize="9"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CB2BF-DE0F-43B1-A37E-A65C9940846B}">
  <dimension ref="A1:BD12"/>
  <sheetViews>
    <sheetView showGridLines="0" zoomScaleNormal="100" workbookViewId="0">
      <selection activeCell="D26" sqref="D26"/>
    </sheetView>
  </sheetViews>
  <sheetFormatPr baseColWidth="10" defaultColWidth="11.42578125" defaultRowHeight="12.75"/>
  <cols>
    <col min="1" max="1" width="24" style="40" customWidth="1"/>
    <col min="2" max="55" width="11.42578125" style="40"/>
    <col min="56" max="56" width="13.140625" style="40" customWidth="1"/>
    <col min="57" max="57" width="14.42578125" style="40" customWidth="1"/>
    <col min="58" max="16384" width="11.42578125" style="40"/>
  </cols>
  <sheetData>
    <row r="1" spans="1:56">
      <c r="A1" s="38" t="s">
        <v>23</v>
      </c>
      <c r="B1" s="39"/>
      <c r="C1" s="39"/>
      <c r="D1" s="39"/>
    </row>
    <row r="2" spans="1:56">
      <c r="A2" s="33" t="s">
        <v>41</v>
      </c>
    </row>
    <row r="3" spans="1:56">
      <c r="A3" s="41"/>
      <c r="B3" s="41">
        <v>1970</v>
      </c>
      <c r="C3" s="41"/>
      <c r="D3" s="41"/>
      <c r="E3" s="41"/>
      <c r="F3" s="41"/>
      <c r="G3" s="41">
        <v>1975</v>
      </c>
      <c r="H3" s="41"/>
      <c r="I3" s="41"/>
      <c r="J3" s="41"/>
      <c r="K3" s="41"/>
      <c r="L3" s="41">
        <v>1980</v>
      </c>
      <c r="M3" s="41"/>
      <c r="N3" s="41"/>
      <c r="O3" s="41"/>
      <c r="P3" s="41"/>
      <c r="Q3" s="41">
        <v>1985</v>
      </c>
      <c r="R3" s="41"/>
      <c r="S3" s="41"/>
      <c r="T3" s="41"/>
      <c r="U3" s="41"/>
      <c r="V3" s="41">
        <v>1990</v>
      </c>
      <c r="W3" s="41"/>
      <c r="X3" s="41"/>
      <c r="Y3" s="41"/>
      <c r="Z3" s="41"/>
      <c r="AA3" s="41">
        <v>1995</v>
      </c>
      <c r="AB3" s="41"/>
      <c r="AC3" s="41"/>
      <c r="AD3" s="41"/>
      <c r="AE3" s="41"/>
      <c r="AF3" s="41">
        <v>2000</v>
      </c>
      <c r="AG3" s="41"/>
      <c r="AH3" s="41"/>
      <c r="AI3" s="41"/>
      <c r="AJ3" s="41"/>
      <c r="AK3" s="41">
        <v>2005</v>
      </c>
      <c r="AL3" s="41"/>
      <c r="AM3" s="41"/>
      <c r="AN3" s="41"/>
      <c r="AO3" s="41"/>
      <c r="AP3" s="41">
        <v>2010</v>
      </c>
      <c r="AQ3" s="41"/>
      <c r="AR3" s="41"/>
      <c r="AS3" s="41"/>
      <c r="AT3" s="41"/>
      <c r="AU3" s="41">
        <v>2015</v>
      </c>
      <c r="AV3" s="41"/>
      <c r="AW3" s="41"/>
      <c r="AX3" s="41"/>
      <c r="AY3" s="41"/>
      <c r="AZ3" s="41">
        <v>2020</v>
      </c>
      <c r="BA3" s="41"/>
      <c r="BB3" s="41"/>
      <c r="BC3" s="41"/>
      <c r="BD3" s="42">
        <v>2024</v>
      </c>
    </row>
    <row r="4" spans="1:56">
      <c r="A4" s="41" t="s">
        <v>48</v>
      </c>
      <c r="B4" s="42">
        <v>1.48175327584953</v>
      </c>
      <c r="C4" s="42">
        <v>1.45067700161905</v>
      </c>
      <c r="D4" s="42">
        <v>1.36656667671221</v>
      </c>
      <c r="E4" s="42">
        <v>1.3032563673934401</v>
      </c>
      <c r="F4" s="42">
        <v>1.6130926538826</v>
      </c>
      <c r="G4" s="42">
        <v>1.50101425590738</v>
      </c>
      <c r="H4" s="42">
        <v>1.4661025733397901</v>
      </c>
      <c r="I4" s="42">
        <v>1.61456184790682</v>
      </c>
      <c r="J4" s="42">
        <v>1.58702253952019</v>
      </c>
      <c r="K4" s="42">
        <v>1.6533790587888599</v>
      </c>
      <c r="L4" s="42">
        <v>1.7054662587830201</v>
      </c>
      <c r="M4" s="42">
        <v>1.72374698319488</v>
      </c>
      <c r="N4" s="42">
        <v>1.7460279683426501</v>
      </c>
      <c r="O4" s="42">
        <v>1.7254827649314399</v>
      </c>
      <c r="P4" s="42">
        <v>1.7601781927808899</v>
      </c>
      <c r="Q4" s="42">
        <v>1.7752059348327101</v>
      </c>
      <c r="R4" s="42">
        <v>1.4634107760693</v>
      </c>
      <c r="S4" s="42">
        <v>1.4411672689969801</v>
      </c>
      <c r="T4" s="42">
        <v>1.39924655779216</v>
      </c>
      <c r="U4" s="42">
        <v>1.4492360758177201</v>
      </c>
      <c r="V4" s="42">
        <v>1.44779578698054</v>
      </c>
      <c r="W4" s="42">
        <v>1.40299108002454</v>
      </c>
      <c r="X4" s="42">
        <v>1.34615343405515</v>
      </c>
      <c r="Y4" s="42">
        <v>1.3666882908179401</v>
      </c>
      <c r="Z4" s="42">
        <v>1.3869052566634199</v>
      </c>
      <c r="AA4" s="42">
        <v>1.41798637650613</v>
      </c>
      <c r="AB4" s="42">
        <v>1.4773464511799901</v>
      </c>
      <c r="AC4" s="42">
        <v>1.5113400434737201</v>
      </c>
      <c r="AD4" s="42">
        <v>1.46793476632909</v>
      </c>
      <c r="AE4" s="42">
        <v>1.52820922995565</v>
      </c>
      <c r="AF4" s="42">
        <v>1.75284522137094</v>
      </c>
      <c r="AG4" s="42">
        <v>1.6505668117296699</v>
      </c>
      <c r="AH4" s="42">
        <v>1.58488956530797</v>
      </c>
      <c r="AI4" s="42">
        <v>1.5541613868912201</v>
      </c>
      <c r="AJ4" s="42">
        <v>1.5841210468090701</v>
      </c>
      <c r="AK4" s="42">
        <v>1.7374817498031001</v>
      </c>
      <c r="AL4" s="42">
        <v>1.8161016770143501</v>
      </c>
      <c r="AM4" s="42"/>
      <c r="AN4" s="42"/>
      <c r="AO4" s="42"/>
      <c r="AP4" s="42"/>
      <c r="AQ4" s="42"/>
      <c r="AR4" s="42"/>
      <c r="AS4" s="42"/>
      <c r="AT4" s="42"/>
      <c r="AU4" s="42"/>
      <c r="AV4" s="42"/>
      <c r="AW4" s="42"/>
      <c r="AX4" s="42"/>
      <c r="AY4" s="42"/>
      <c r="AZ4" s="42"/>
      <c r="BA4" s="42"/>
      <c r="BB4" s="42"/>
      <c r="BC4" s="42"/>
      <c r="BD4" s="42"/>
    </row>
    <row r="5" spans="1:56">
      <c r="A5" s="41" t="s">
        <v>24</v>
      </c>
      <c r="B5" s="42">
        <v>0.91970892983764196</v>
      </c>
      <c r="C5" s="42">
        <v>0.93085107603888895</v>
      </c>
      <c r="D5" s="42">
        <v>0.88826833986293496</v>
      </c>
      <c r="E5" s="42">
        <v>0.83408407513180405</v>
      </c>
      <c r="F5" s="42">
        <v>0.98068701116726398</v>
      </c>
      <c r="G5" s="42">
        <v>0.943260324750538</v>
      </c>
      <c r="H5" s="42">
        <v>0.94997462660281995</v>
      </c>
      <c r="I5" s="42">
        <v>0.96463229048670296</v>
      </c>
      <c r="J5" s="42">
        <v>0.95974090334620099</v>
      </c>
      <c r="K5" s="42">
        <v>1.07016658257224</v>
      </c>
      <c r="L5" s="42">
        <v>1.2018051706628901</v>
      </c>
      <c r="M5" s="42">
        <v>1.2664263550003201</v>
      </c>
      <c r="N5" s="42">
        <v>1.31738596710538</v>
      </c>
      <c r="O5" s="42">
        <v>1.31773762765122</v>
      </c>
      <c r="P5" s="42">
        <v>1.33644541963796</v>
      </c>
      <c r="Q5" s="42">
        <v>1.3519973264698699</v>
      </c>
      <c r="R5" s="42">
        <v>1.0426580052842001</v>
      </c>
      <c r="S5" s="42">
        <v>0.98108975735244297</v>
      </c>
      <c r="T5" s="42">
        <v>0.92857744918492802</v>
      </c>
      <c r="U5" s="42">
        <v>0.94861145078675102</v>
      </c>
      <c r="V5" s="42">
        <v>0.96330355510134702</v>
      </c>
      <c r="W5" s="42">
        <v>0.93992023871336206</v>
      </c>
      <c r="X5" s="42">
        <v>0.88732157693452895</v>
      </c>
      <c r="Y5" s="42">
        <v>0.92240052162772801</v>
      </c>
      <c r="Z5" s="42">
        <v>0.95358351663843999</v>
      </c>
      <c r="AA5" s="42">
        <v>0.933941540932271</v>
      </c>
      <c r="AB5" s="42">
        <v>1.0193173625635501</v>
      </c>
      <c r="AC5" s="42">
        <v>1.04306649948396</v>
      </c>
      <c r="AD5" s="42">
        <v>0.98428823870834103</v>
      </c>
      <c r="AE5" s="42">
        <v>1.05183234784671</v>
      </c>
      <c r="AF5" s="42">
        <v>1.2699228126562301</v>
      </c>
      <c r="AG5" s="42">
        <v>1.17461721400075</v>
      </c>
      <c r="AH5" s="42">
        <v>1.11777520526477</v>
      </c>
      <c r="AI5" s="42">
        <v>1.1251327059626799</v>
      </c>
      <c r="AJ5" s="42">
        <v>1.2283416497955799</v>
      </c>
      <c r="AK5" s="42">
        <v>1.3996773247571499</v>
      </c>
      <c r="AL5" s="42">
        <v>1.44528380292606</v>
      </c>
      <c r="AM5" s="42">
        <v>1.4471082637580801</v>
      </c>
      <c r="AN5" s="42">
        <v>1.62882738233765</v>
      </c>
      <c r="AO5" s="42">
        <v>1.2874003322971399</v>
      </c>
      <c r="AP5" s="42">
        <v>1.45078103645089</v>
      </c>
      <c r="AQ5" s="42">
        <v>1.65456206501595</v>
      </c>
      <c r="AR5" s="42">
        <v>1.69616389959432</v>
      </c>
      <c r="AS5" s="42">
        <v>1.62657007610327</v>
      </c>
      <c r="AT5" s="42">
        <v>1.54104538045988</v>
      </c>
      <c r="AU5" s="42">
        <v>1.3771788207692299</v>
      </c>
      <c r="AV5" s="42">
        <v>1.32222782915281</v>
      </c>
      <c r="AW5" s="42">
        <v>1.45902084800055</v>
      </c>
      <c r="AX5" s="42">
        <v>1.6704211279539201</v>
      </c>
      <c r="AY5" s="42">
        <v>1.65591622011971</v>
      </c>
      <c r="AZ5" s="42">
        <v>1.4414170250975</v>
      </c>
      <c r="BA5" s="42">
        <v>1.60973806180597</v>
      </c>
      <c r="BB5" s="42">
        <v>1.97723201362516</v>
      </c>
      <c r="BC5" s="42">
        <v>1.83068162869734</v>
      </c>
      <c r="BD5" s="42">
        <v>1.694375</v>
      </c>
    </row>
    <row r="6" spans="1:56">
      <c r="A6" s="41" t="s">
        <v>25</v>
      </c>
      <c r="B6" s="42"/>
      <c r="C6" s="42"/>
      <c r="D6" s="42"/>
      <c r="E6" s="42"/>
      <c r="F6" s="42"/>
      <c r="G6" s="42"/>
      <c r="H6" s="42"/>
      <c r="I6" s="42"/>
      <c r="J6" s="42"/>
      <c r="K6" s="42"/>
      <c r="L6" s="42"/>
      <c r="M6" s="42"/>
      <c r="N6" s="42"/>
      <c r="O6" s="42"/>
      <c r="P6" s="42"/>
      <c r="Q6" s="42"/>
      <c r="R6" s="42"/>
      <c r="S6" s="42"/>
      <c r="T6" s="42"/>
      <c r="U6" s="42"/>
      <c r="V6" s="42">
        <v>1.44528666316151</v>
      </c>
      <c r="W6" s="42">
        <v>1.34797775084101</v>
      </c>
      <c r="X6" s="42">
        <v>1.27930212235987</v>
      </c>
      <c r="Y6" s="42">
        <v>1.28345322239293</v>
      </c>
      <c r="Z6" s="42">
        <v>1.3020091853284601</v>
      </c>
      <c r="AA6" s="42">
        <v>1.3636386243394101</v>
      </c>
      <c r="AB6" s="42">
        <v>1.41837387976367</v>
      </c>
      <c r="AC6" s="42">
        <v>1.4512539198765999</v>
      </c>
      <c r="AD6" s="42">
        <v>1.40748130819831</v>
      </c>
      <c r="AE6" s="42">
        <v>1.4558292006759399</v>
      </c>
      <c r="AF6" s="42">
        <v>1.6371868353075301</v>
      </c>
      <c r="AG6" s="42">
        <v>1.52413675146909</v>
      </c>
      <c r="AH6" s="42">
        <v>1.46822163333612</v>
      </c>
      <c r="AI6" s="42">
        <v>1.4411259148839299</v>
      </c>
      <c r="AJ6" s="42">
        <v>1.4720971140602099</v>
      </c>
      <c r="AK6" s="42">
        <v>1.5893031963769999</v>
      </c>
      <c r="AL6" s="42">
        <v>1.6589661906156099</v>
      </c>
      <c r="AM6" s="42">
        <v>1.6870115753703601</v>
      </c>
      <c r="AN6" s="42">
        <v>1.7402319093362399</v>
      </c>
      <c r="AO6" s="42">
        <v>1.55308216603313</v>
      </c>
      <c r="AP6" s="42">
        <v>1.7033668469588401</v>
      </c>
      <c r="AQ6" s="42">
        <v>1.8578661732538999</v>
      </c>
      <c r="AR6" s="42">
        <v>1.9027501064908701</v>
      </c>
      <c r="AS6" s="42">
        <v>1.8513125036736799</v>
      </c>
      <c r="AT6" s="42">
        <v>1.77953879744205</v>
      </c>
      <c r="AU6" s="42">
        <v>1.6212959411538499</v>
      </c>
      <c r="AV6" s="42">
        <v>1.5595687106604299</v>
      </c>
      <c r="AW6" s="42">
        <v>1.6296318126168401</v>
      </c>
      <c r="AX6" s="42">
        <v>1.7490077129393999</v>
      </c>
      <c r="AY6" s="42">
        <v>1.7322377019756601</v>
      </c>
      <c r="AZ6" s="42">
        <v>1.55030529493423</v>
      </c>
      <c r="BA6" s="42">
        <v>1.74623285340801</v>
      </c>
      <c r="BB6" s="42">
        <v>1.93547978820572</v>
      </c>
      <c r="BC6" s="42">
        <v>1.92086773415144</v>
      </c>
      <c r="BD6" s="42">
        <v>1.8211192307692301</v>
      </c>
    </row>
    <row r="7" spans="1:56">
      <c r="A7" s="41" t="s">
        <v>26</v>
      </c>
      <c r="B7" s="42"/>
      <c r="C7" s="42"/>
      <c r="D7" s="42"/>
      <c r="E7" s="42"/>
      <c r="F7" s="42"/>
      <c r="G7" s="42"/>
      <c r="H7" s="42"/>
      <c r="I7" s="42"/>
      <c r="J7" s="42"/>
      <c r="K7" s="42"/>
      <c r="L7" s="42"/>
      <c r="M7" s="42"/>
      <c r="N7" s="42"/>
      <c r="O7" s="42"/>
      <c r="P7" s="42"/>
      <c r="Q7" s="42"/>
      <c r="R7" s="42"/>
      <c r="S7" s="42"/>
      <c r="T7" s="42"/>
      <c r="U7" s="42"/>
      <c r="V7" s="42">
        <v>1.4644126099055499</v>
      </c>
      <c r="W7" s="42">
        <v>1.3618572626979399</v>
      </c>
      <c r="X7" s="42">
        <v>1.3021450386853399</v>
      </c>
      <c r="Y7" s="42">
        <v>1.3138411911279799</v>
      </c>
      <c r="Z7" s="42">
        <v>1.3278677905929499</v>
      </c>
      <c r="AA7" s="42">
        <v>1.37343521292813</v>
      </c>
      <c r="AB7" s="42">
        <v>1.4307802035598001</v>
      </c>
      <c r="AC7" s="42">
        <v>1.46551073063068</v>
      </c>
      <c r="AD7" s="42">
        <v>1.4215472394784101</v>
      </c>
      <c r="AE7" s="42">
        <v>1.46894790757032</v>
      </c>
      <c r="AF7" s="42">
        <v>1.6635240026589799</v>
      </c>
      <c r="AG7" s="42">
        <v>1.55976831373508</v>
      </c>
      <c r="AH7" s="42">
        <v>1.4999231178121499</v>
      </c>
      <c r="AI7" s="42">
        <v>1.4698156331360901</v>
      </c>
      <c r="AJ7" s="42">
        <v>1.50321327226218</v>
      </c>
      <c r="AK7" s="42">
        <v>1.6429558598057199</v>
      </c>
      <c r="AL7" s="42">
        <v>1.7092475858743299</v>
      </c>
      <c r="AM7" s="42">
        <v>1.7294362610090099</v>
      </c>
      <c r="AN7" s="42">
        <v>1.79050918150083</v>
      </c>
      <c r="AO7" s="42">
        <v>1.59659215488572</v>
      </c>
      <c r="AP7" s="42">
        <v>1.7485891023840401</v>
      </c>
      <c r="AQ7" s="42">
        <v>1.9048156793108699</v>
      </c>
      <c r="AR7" s="42">
        <v>1.96641791894211</v>
      </c>
      <c r="AS7" s="42">
        <v>1.9206340330090199</v>
      </c>
      <c r="AT7" s="42">
        <v>1.8517246583248701</v>
      </c>
      <c r="AU7" s="42">
        <v>1.69540921961538</v>
      </c>
      <c r="AV7" s="42">
        <v>1.62950135981648</v>
      </c>
      <c r="AW7" s="42">
        <v>1.70820489808946</v>
      </c>
      <c r="AX7" s="42">
        <v>1.8265196309796501</v>
      </c>
      <c r="AY7" s="42">
        <v>1.8040179281027899</v>
      </c>
      <c r="AZ7" s="42">
        <v>1.62321649846859</v>
      </c>
      <c r="BA7" s="42">
        <v>1.8147839485275199</v>
      </c>
      <c r="BB7" s="42">
        <v>1.99336430332457</v>
      </c>
      <c r="BC7" s="42">
        <v>1.97764278768393</v>
      </c>
      <c r="BD7" s="42">
        <v>1.8817173076923099</v>
      </c>
    </row>
    <row r="8" spans="1:56">
      <c r="A8" s="41" t="s">
        <v>27</v>
      </c>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v>1.82030523983356</v>
      </c>
      <c r="AT8" s="42">
        <v>1.7690872345091899</v>
      </c>
      <c r="AU8" s="42">
        <v>1.61228870307692</v>
      </c>
      <c r="AV8" s="42">
        <v>1.53257189624713</v>
      </c>
      <c r="AW8" s="42">
        <v>1.6031866555332599</v>
      </c>
      <c r="AX8" s="42">
        <v>1.72309210167367</v>
      </c>
      <c r="AY8" s="42">
        <v>1.7050253180097299</v>
      </c>
      <c r="AZ8" s="42">
        <v>1.5314168950928799</v>
      </c>
      <c r="BA8" s="42">
        <v>1.7200212660740699</v>
      </c>
      <c r="BB8" s="42">
        <v>1.8883789331996499</v>
      </c>
      <c r="BC8" s="42">
        <v>1.89475364184636</v>
      </c>
      <c r="BD8" s="42">
        <v>1.78367115384615</v>
      </c>
    </row>
    <row r="9" spans="1:56">
      <c r="A9" s="41" t="s">
        <v>47</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v>0.75280779146376398</v>
      </c>
      <c r="BA9" s="41">
        <v>0.76154196938947305</v>
      </c>
      <c r="BB9" s="42">
        <v>0.85338825070563695</v>
      </c>
      <c r="BC9" s="42">
        <v>1.07639962085246</v>
      </c>
      <c r="BD9" s="42">
        <v>0.83854615384615405</v>
      </c>
    </row>
    <row r="10" spans="1:56">
      <c r="A10" s="33" t="s">
        <v>57</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43"/>
      <c r="AS10" s="39"/>
      <c r="AT10" s="39"/>
      <c r="AU10" s="39"/>
      <c r="AV10" s="39"/>
      <c r="AW10" s="39"/>
      <c r="AX10" s="39"/>
      <c r="AY10" s="39"/>
      <c r="AZ10" s="39"/>
      <c r="BA10" s="39"/>
    </row>
    <row r="11" spans="1:56">
      <c r="A11" s="32" t="s">
        <v>78</v>
      </c>
      <c r="AR11" s="44"/>
    </row>
    <row r="12" spans="1:56">
      <c r="AR12" s="44"/>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DC7E0-6CF5-4704-8762-D91EC11A755F}">
  <dimension ref="A1:AL38"/>
  <sheetViews>
    <sheetView showGridLines="0" zoomScaleNormal="100" workbookViewId="0">
      <selection activeCell="D26" sqref="D26"/>
    </sheetView>
  </sheetViews>
  <sheetFormatPr baseColWidth="10" defaultRowHeight="12.75"/>
  <cols>
    <col min="1" max="1" width="34.5703125" style="20" customWidth="1"/>
    <col min="2" max="3" width="11.42578125" style="20"/>
    <col min="4" max="4" width="12.5703125" style="20" customWidth="1"/>
    <col min="5" max="16384" width="11.42578125" style="20"/>
  </cols>
  <sheetData>
    <row r="1" spans="1:38">
      <c r="A1" s="32" t="s">
        <v>32</v>
      </c>
    </row>
    <row r="2" spans="1:38">
      <c r="A2" s="33" t="s">
        <v>44</v>
      </c>
    </row>
    <row r="3" spans="1:38" ht="15" customHeight="1">
      <c r="A3" s="34" t="s">
        <v>33</v>
      </c>
      <c r="B3" s="35">
        <v>1990</v>
      </c>
      <c r="C3" s="35"/>
      <c r="D3" s="35"/>
      <c r="E3" s="35"/>
      <c r="F3" s="35"/>
      <c r="G3" s="35">
        <v>1995</v>
      </c>
      <c r="H3" s="35"/>
      <c r="I3" s="35"/>
      <c r="J3" s="35"/>
      <c r="K3" s="35"/>
      <c r="L3" s="35">
        <v>2000</v>
      </c>
      <c r="M3" s="35"/>
      <c r="N3" s="35"/>
      <c r="O3" s="35"/>
      <c r="P3" s="35"/>
      <c r="Q3" s="35">
        <v>2005</v>
      </c>
      <c r="R3" s="35"/>
      <c r="S3" s="35"/>
      <c r="T3" s="35"/>
      <c r="U3" s="35"/>
      <c r="V3" s="35">
        <v>2010</v>
      </c>
      <c r="W3" s="35"/>
      <c r="X3" s="35"/>
      <c r="Y3" s="35"/>
      <c r="Z3" s="35"/>
      <c r="AA3" s="35">
        <v>2015</v>
      </c>
      <c r="AB3" s="35"/>
      <c r="AC3" s="35"/>
      <c r="AD3" s="35"/>
      <c r="AE3" s="35"/>
      <c r="AF3" s="35">
        <v>2020</v>
      </c>
      <c r="AG3" s="35"/>
      <c r="AH3" s="35"/>
      <c r="AI3" s="35"/>
      <c r="AJ3" s="36">
        <v>2024</v>
      </c>
    </row>
    <row r="4" spans="1:38" ht="15" customHeight="1">
      <c r="A4" s="34" t="s">
        <v>34</v>
      </c>
      <c r="B4" s="36">
        <v>167.17572426938099</v>
      </c>
      <c r="C4" s="36">
        <v>143.638764131881</v>
      </c>
      <c r="D4" s="36">
        <v>144.99348699652199</v>
      </c>
      <c r="E4" s="36">
        <v>143.20358286016</v>
      </c>
      <c r="F4" s="36">
        <v>141.17376892934999</v>
      </c>
      <c r="G4" s="36">
        <v>140.482716115729</v>
      </c>
      <c r="H4" s="36">
        <v>143.61627893729499</v>
      </c>
      <c r="I4" s="36">
        <v>154.88312123383199</v>
      </c>
      <c r="J4" s="36">
        <v>160.223559061755</v>
      </c>
      <c r="K4" s="36">
        <v>162.001680892097</v>
      </c>
      <c r="L4" s="36">
        <v>181.780953862762</v>
      </c>
      <c r="M4" s="36">
        <v>197.43018054016599</v>
      </c>
      <c r="N4" s="36">
        <v>195.725350959227</v>
      </c>
      <c r="O4" s="36">
        <v>201.52353381496101</v>
      </c>
      <c r="P4" s="36">
        <v>204.57530365928801</v>
      </c>
      <c r="Q4" s="36">
        <v>211.37034304302099</v>
      </c>
      <c r="R4" s="36">
        <v>218.25565041066599</v>
      </c>
      <c r="S4" s="36">
        <v>217.944736935017</v>
      </c>
      <c r="T4" s="36">
        <v>223.776447782171</v>
      </c>
      <c r="U4" s="36">
        <v>219.13627129183399</v>
      </c>
      <c r="V4" s="36">
        <v>216.388820596427</v>
      </c>
      <c r="W4" s="36">
        <v>227.27098123223001</v>
      </c>
      <c r="X4" s="36">
        <v>234.43317639072399</v>
      </c>
      <c r="Y4" s="36">
        <v>240.53116871206601</v>
      </c>
      <c r="Z4" s="36">
        <v>237.65288105763599</v>
      </c>
      <c r="AA4" s="36">
        <v>236.744847490582</v>
      </c>
      <c r="AB4" s="36">
        <v>232.49810021145299</v>
      </c>
      <c r="AC4" s="36">
        <v>227.78365635684099</v>
      </c>
      <c r="AD4" s="36">
        <v>232.77369517656001</v>
      </c>
      <c r="AE4" s="36">
        <v>240.978676361054</v>
      </c>
      <c r="AF4" s="36">
        <v>242.47971723877899</v>
      </c>
      <c r="AG4" s="36">
        <v>240.70635754669601</v>
      </c>
      <c r="AH4" s="36">
        <v>250.65675394046099</v>
      </c>
      <c r="AI4" s="36">
        <v>255.781144722942</v>
      </c>
      <c r="AJ4" s="36">
        <v>256.05581885202702</v>
      </c>
    </row>
    <row r="5" spans="1:38" ht="15" customHeight="1">
      <c r="A5" s="34" t="s">
        <v>35</v>
      </c>
      <c r="B5" s="36">
        <v>82.7656359273346</v>
      </c>
      <c r="C5" s="36">
        <v>86.734169151242099</v>
      </c>
      <c r="D5" s="36">
        <v>84.895807287545495</v>
      </c>
      <c r="E5" s="36">
        <v>81.731388237725298</v>
      </c>
      <c r="F5" s="36">
        <v>80.831767964575903</v>
      </c>
      <c r="G5" s="36">
        <v>89.918942827022704</v>
      </c>
      <c r="H5" s="36">
        <v>93.417025923990096</v>
      </c>
      <c r="I5" s="36">
        <v>104.98529972024301</v>
      </c>
      <c r="J5" s="36">
        <v>104.129192084019</v>
      </c>
      <c r="K5" s="36">
        <v>98.189428699920796</v>
      </c>
      <c r="L5" s="36">
        <v>109.888877355497</v>
      </c>
      <c r="M5" s="36">
        <v>110.636626146727</v>
      </c>
      <c r="N5" s="36">
        <v>107.614596636785</v>
      </c>
      <c r="O5" s="36">
        <v>116.418123786704</v>
      </c>
      <c r="P5" s="36">
        <v>117.23109410615901</v>
      </c>
      <c r="Q5" s="36">
        <v>131.41251316316601</v>
      </c>
      <c r="R5" s="36">
        <v>143.47896229573399</v>
      </c>
      <c r="S5" s="36">
        <v>143.67498941253999</v>
      </c>
      <c r="T5" s="36">
        <v>157.77510346922199</v>
      </c>
      <c r="U5" s="36">
        <v>137.224193962622</v>
      </c>
      <c r="V5" s="36">
        <v>144.083859071321</v>
      </c>
      <c r="W5" s="36">
        <v>161.927530462709</v>
      </c>
      <c r="X5" s="36">
        <v>170.309215083152</v>
      </c>
      <c r="Y5" s="36">
        <v>159.89209357319999</v>
      </c>
      <c r="Z5" s="36">
        <v>160.36002892681699</v>
      </c>
      <c r="AA5" s="36">
        <v>150.516533364298</v>
      </c>
      <c r="AB5" s="36">
        <v>142.683608994606</v>
      </c>
      <c r="AC5" s="36">
        <v>155.79787776854999</v>
      </c>
      <c r="AD5" s="36">
        <v>166.26112725943699</v>
      </c>
      <c r="AE5" s="36">
        <v>171.11486626445799</v>
      </c>
      <c r="AF5" s="36">
        <v>167.12261234865699</v>
      </c>
      <c r="AG5" s="36">
        <v>167.387419602287</v>
      </c>
      <c r="AH5" s="36">
        <v>167.614025283415</v>
      </c>
      <c r="AI5" s="36">
        <v>169.48449612251801</v>
      </c>
      <c r="AJ5" s="36">
        <v>170.51573617404199</v>
      </c>
    </row>
    <row r="6" spans="1:38" ht="15" customHeight="1">
      <c r="A6" s="34" t="s">
        <v>36</v>
      </c>
      <c r="B6" s="36">
        <v>60.600422414594597</v>
      </c>
      <c r="C6" s="36">
        <v>60.412810761786403</v>
      </c>
      <c r="D6" s="36">
        <v>52.678720594109798</v>
      </c>
      <c r="E6" s="36">
        <v>52.712253744084698</v>
      </c>
      <c r="F6" s="36">
        <v>50.504323148299598</v>
      </c>
      <c r="G6" s="36">
        <v>48.625391882167598</v>
      </c>
      <c r="H6" s="36">
        <v>52.330036081032702</v>
      </c>
      <c r="I6" s="36">
        <v>54.336624786770003</v>
      </c>
      <c r="J6" s="36">
        <v>46.273571792563502</v>
      </c>
      <c r="K6" s="36">
        <v>50.228924885627201</v>
      </c>
      <c r="L6" s="36">
        <v>69.609085711462996</v>
      </c>
      <c r="M6" s="36">
        <v>58.224926438254002</v>
      </c>
      <c r="N6" s="36">
        <v>53.110140365811702</v>
      </c>
      <c r="O6" s="36">
        <v>55.405768353166799</v>
      </c>
      <c r="P6" s="36">
        <v>62.6552861537604</v>
      </c>
      <c r="Q6" s="36">
        <v>80.305560712571904</v>
      </c>
      <c r="R6" s="36">
        <v>87.269843864362002</v>
      </c>
      <c r="S6" s="36">
        <v>86.287812291443601</v>
      </c>
      <c r="T6" s="36">
        <v>107.41360909475701</v>
      </c>
      <c r="U6" s="36">
        <v>74.139093346545394</v>
      </c>
      <c r="V6" s="36">
        <v>90.8428221463451</v>
      </c>
      <c r="W6" s="36">
        <v>110.32354828980201</v>
      </c>
      <c r="X6" s="36">
        <v>118.07763378988599</v>
      </c>
      <c r="Y6" s="36">
        <v>112.029108416325</v>
      </c>
      <c r="Z6" s="36">
        <v>103.375620169301</v>
      </c>
      <c r="AA6" s="36">
        <v>84.820003317312498</v>
      </c>
      <c r="AB6" s="36">
        <v>76.485382381863204</v>
      </c>
      <c r="AC6" s="36">
        <v>87.992692235964498</v>
      </c>
      <c r="AD6" s="36">
        <v>106.25732072662601</v>
      </c>
      <c r="AE6" s="36">
        <v>107.30987766870101</v>
      </c>
      <c r="AF6" s="36">
        <v>87.597204998963406</v>
      </c>
      <c r="AG6" s="36">
        <v>102.124844520284</v>
      </c>
      <c r="AH6" s="36">
        <v>159.006018527122</v>
      </c>
      <c r="AI6" s="36">
        <v>129.37602104954101</v>
      </c>
      <c r="AJ6" s="36">
        <v>120.39163574365701</v>
      </c>
      <c r="AL6" s="26"/>
    </row>
    <row r="7" spans="1:38">
      <c r="A7" s="33" t="s">
        <v>43</v>
      </c>
    </row>
    <row r="8" spans="1:38">
      <c r="A8" s="33" t="s">
        <v>71</v>
      </c>
      <c r="G8" s="37"/>
    </row>
    <row r="9" spans="1:38">
      <c r="A9" s="32" t="s">
        <v>77</v>
      </c>
      <c r="G9" s="37"/>
    </row>
    <row r="10" spans="1:38">
      <c r="G10" s="37"/>
    </row>
    <row r="11" spans="1:38">
      <c r="G11" s="37"/>
    </row>
    <row r="12" spans="1:38">
      <c r="G12" s="37"/>
    </row>
    <row r="13" spans="1:38">
      <c r="G13" s="37"/>
    </row>
    <row r="14" spans="1:38">
      <c r="G14" s="37"/>
    </row>
    <row r="15" spans="1:38">
      <c r="G15" s="37"/>
    </row>
    <row r="16" spans="1:38">
      <c r="G16" s="37"/>
    </row>
    <row r="17" spans="7:7">
      <c r="G17" s="37"/>
    </row>
    <row r="18" spans="7:7">
      <c r="G18" s="37"/>
    </row>
    <row r="19" spans="7:7">
      <c r="G19" s="37"/>
    </row>
    <row r="20" spans="7:7">
      <c r="G20" s="37"/>
    </row>
    <row r="21" spans="7:7">
      <c r="G21" s="37"/>
    </row>
    <row r="22" spans="7:7">
      <c r="G22" s="37"/>
    </row>
    <row r="23" spans="7:7">
      <c r="G23" s="37"/>
    </row>
    <row r="24" spans="7:7">
      <c r="G24" s="37"/>
    </row>
    <row r="25" spans="7:7">
      <c r="G25" s="37"/>
    </row>
    <row r="29" spans="7:7">
      <c r="G29" s="37"/>
    </row>
    <row r="30" spans="7:7">
      <c r="G30" s="37"/>
    </row>
    <row r="31" spans="7:7">
      <c r="G31" s="37"/>
    </row>
    <row r="32" spans="7:7">
      <c r="G32" s="37"/>
    </row>
    <row r="33" spans="7:7">
      <c r="G33" s="37"/>
    </row>
    <row r="34" spans="7:7">
      <c r="G34" s="37"/>
    </row>
    <row r="35" spans="7:7">
      <c r="G35" s="37"/>
    </row>
    <row r="36" spans="7:7">
      <c r="G36" s="37"/>
    </row>
    <row r="37" spans="7:7">
      <c r="G37" s="37"/>
    </row>
    <row r="38" spans="7:7">
      <c r="G38" s="3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Graphique 1</vt:lpstr>
      <vt:lpstr>Tableau 1</vt:lpstr>
      <vt:lpstr>Tableau 2</vt:lpstr>
      <vt:lpstr>Tableau 3</vt:lpstr>
      <vt:lpstr>Graphique 2</vt:lpstr>
      <vt:lpstr>Tableau 4</vt:lpstr>
      <vt:lpstr>Graphique 3</vt:lpstr>
      <vt:lpstr>Graphique 4</vt:lpstr>
      <vt:lpstr>Graphique_complement_1</vt:lpstr>
      <vt:lpstr>Graphique_complement_2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Données des prix des produits pétroliers en 2025</dc:title>
  <dc:subject>Les prix des produits pétroliers poursuivent leur baisse en 2025 avant un rebond début 2026</dc:subject>
  <dc:creator>SDES</dc:creator>
  <cp:keywords>prix, pétrole, produit pétrolier, combustible, carburant routier, énergie</cp:keywords>
  <cp:lastModifiedBy>THIRIAT Sébastien</cp:lastModifiedBy>
  <dcterms:created xsi:type="dcterms:W3CDTF">2020-02-20T09:51:58Z</dcterms:created>
  <dcterms:modified xsi:type="dcterms:W3CDTF">2026-06-15T12:31:17Z</dcterms:modified>
</cp:coreProperties>
</file>