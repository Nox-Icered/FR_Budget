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O:\etudes\etudes\recurrentes\Impôt sur les sociétés (IS) -BIC-BNC-BA\2026_bénéfices_prov\Redaction\diff_yohan\"/>
    </mc:Choice>
  </mc:AlternateContent>
  <xr:revisionPtr revIDLastSave="0" documentId="13_ncr:1_{BADEF839-B870-4801-BA81-7E86F6973E76}" xr6:coauthVersionLast="47" xr6:coauthVersionMax="47" xr10:uidLastSave="{00000000-0000-0000-0000-000000000000}"/>
  <bookViews>
    <workbookView xWindow="-28920" yWindow="-30" windowWidth="29040" windowHeight="15720" tabRatio="754" activeTab="1" xr2:uid="{00000000-000D-0000-FFFF-FFFF00000000}"/>
  </bookViews>
  <sheets>
    <sheet name="Lisez-moi" sheetId="1" r:id="rId1"/>
    <sheet name="Graphique 1" sheetId="21" r:id="rId2"/>
    <sheet name="Graphique 2" sheetId="22" r:id="rId3"/>
    <sheet name="Graphique 3" sheetId="25" r:id="rId4"/>
    <sheet name="Tableau 1" sheetId="18" r:id="rId5"/>
    <sheet name="Tableau 2" sheetId="13" r:id="rId6"/>
    <sheet name="Tableau 3" sheetId="2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<sst xmlns="http://schemas.openxmlformats.org/spreadsheetml/2006/main" count="106" uniqueCount="91">
  <si>
    <t>Sources</t>
  </si>
  <si>
    <t>Champ</t>
  </si>
  <si>
    <t>Contenu des onglets</t>
  </si>
  <si>
    <t>Pour tout renseignement, vous pouvez nous contacter par e-mail à l'adresse suivante : cabinet.communication@dgfip.finances.gouv.fr</t>
  </si>
  <si>
    <t xml:space="preserve">B.I. à 15% </t>
  </si>
  <si>
    <t>B.I. à 25%</t>
  </si>
  <si>
    <t>B.I. à 26,5%</t>
  </si>
  <si>
    <t>Résultat fiscal des entreprises IS</t>
  </si>
  <si>
    <t>Résultat fiscal des entreprises IR</t>
  </si>
  <si>
    <t xml:space="preserve">Nombre d'entreprises à l'IS </t>
  </si>
  <si>
    <t>Graphique 1 : Nombre d’entreprises et résultat fiscal par régime d'imposition</t>
  </si>
  <si>
    <t xml:space="preserve">Déficit </t>
  </si>
  <si>
    <t>SECTEURS D'ACTIVITÉS</t>
  </si>
  <si>
    <t>Résultat fiscal (en Md€)</t>
  </si>
  <si>
    <t>Taille de l'entreprise</t>
  </si>
  <si>
    <t xml:space="preserve">Très petites entreprises </t>
  </si>
  <si>
    <t xml:space="preserve">Petites et moyennes entreprises </t>
  </si>
  <si>
    <t xml:space="preserve">Entreprises de taille intermédiaire </t>
  </si>
  <si>
    <t>Grandes Entreprises</t>
  </si>
  <si>
    <t>Nombre d'entreprises (en milliers)</t>
  </si>
  <si>
    <t>Variation du résultat fiscal (%)</t>
  </si>
  <si>
    <t>IS brut (en Md€)</t>
  </si>
  <si>
    <t>Variation IS brut (%)</t>
  </si>
  <si>
    <t>Réductions et crédits d'impôt</t>
  </si>
  <si>
    <t>Nombre d'entreprises bénéficiaires d'une créance (en milliers)</t>
  </si>
  <si>
    <t>TOTAL</t>
  </si>
  <si>
    <t>Crédit impôt recherche (*)</t>
  </si>
  <si>
    <t>Prêt à taux zéro renforcé</t>
  </si>
  <si>
    <t>Crédits d'impôt outre-mer</t>
  </si>
  <si>
    <t xml:space="preserve">Autres réductions et crédits d impôt </t>
  </si>
  <si>
    <t>Graphique 2 : Décomposition du bénéfice imposable (BI) par taux d'imposition</t>
  </si>
  <si>
    <t xml:space="preserve">Graphique 3 : Résultat déclaré par les entreprises imposées à l’IR </t>
  </si>
  <si>
    <t xml:space="preserve">Nombre d'entreprises à l'IR </t>
  </si>
  <si>
    <t>Millions</t>
  </si>
  <si>
    <t>Mds€</t>
  </si>
  <si>
    <t>BIC régime réel</t>
  </si>
  <si>
    <t>BNC régime réel</t>
  </si>
  <si>
    <t>BA régime réel</t>
  </si>
  <si>
    <t xml:space="preserve">Régime "micro" </t>
  </si>
  <si>
    <t>Md€</t>
  </si>
  <si>
    <t>Variation 2024/2025 (en %)</t>
  </si>
  <si>
    <t>B.I. à 27,5%</t>
  </si>
  <si>
    <t>Assiette CEGBE</t>
  </si>
  <si>
    <t>Tableau 2, Répartition des montants déclarés à l’IS et leur évolution par catégorie d’entreprises en 2025</t>
  </si>
  <si>
    <t>TOTAL HORS FINANCES-ASSURANCE</t>
  </si>
  <si>
    <t xml:space="preserve">   Activités financières et d'assurance</t>
  </si>
  <si>
    <t xml:space="preserve">   Commerce, transports, hébergement et restauration</t>
  </si>
  <si>
    <t xml:space="preserve">   Industrie </t>
  </si>
  <si>
    <t xml:space="preserve">      dont industrie manufacturière</t>
  </si>
  <si>
    <t xml:space="preserve">   Activités spécialisées, scientifiques et de soutien</t>
  </si>
  <si>
    <t xml:space="preserve">   Construction</t>
  </si>
  <si>
    <t xml:space="preserve">   Activités immobilières</t>
  </si>
  <si>
    <t xml:space="preserve">   Information et communication</t>
  </si>
  <si>
    <t xml:space="preserve">   Administration, enseignement, santé</t>
  </si>
  <si>
    <t xml:space="preserve">   Agriculture, sylviculture et pêche</t>
  </si>
  <si>
    <t xml:space="preserve">   Autres activités </t>
  </si>
  <si>
    <t>2 834</t>
  </si>
  <si>
    <t>2 586</t>
  </si>
  <si>
    <t>Variation du nombre d’entreprises entre 2024 et 2025 (%)</t>
  </si>
  <si>
    <t>Crédits utilisés en 2025 (Md€)</t>
  </si>
  <si>
    <t>Variation des crédits utilisés entre 2024 et 2025 (%)</t>
  </si>
  <si>
    <t>Mécénat d'entreprise</t>
  </si>
  <si>
    <t xml:space="preserve">et aussi pour les redevances tirées de la concession de brevets (10 %). La base imposable de ces taux réduits (72 Md€) et le montant d’impôt associé ne sont pas pris en compte ici. </t>
  </si>
  <si>
    <t>(2) L'acronyme CEBGE correspond à "Contribution Exceptionnelle sur les Bénéfices des Grandes Entreprises".</t>
  </si>
  <si>
    <t>Nombre d'entreprises bénéficiaires (axe de droite)</t>
  </si>
  <si>
    <t>Nombre d'entreprises déficitaires (axe de droite)</t>
  </si>
  <si>
    <t>L'impôt sur le bénéfice 2025 des entreprises</t>
  </si>
  <si>
    <t>DGFiP Statistiques n°51 - Septembre 2026</t>
  </si>
  <si>
    <t>Les données utilisées sont des données fiscales, issues des déclarations de résultat et des déclarations de revenus relatives à l'année 2025.</t>
  </si>
  <si>
    <t>Sources : Fichier des redevables professionnels et fichier des déclarations sur les revenus des années 2018 à 2025, DGFiP.</t>
  </si>
  <si>
    <t>Lecture : En 2025, 4,8 M d’entreprises sont imposées à l'IR et 2,8 M à l'IS. Le résultat fiscal des entreprises à l'IR est de 90 Md€, celui des entreprises à l'IS est de 176 Md€.</t>
  </si>
  <si>
    <t>Sources : Fichier des redevables professionnels des années 2022 à 2025, DGFiP.</t>
  </si>
  <si>
    <t>Lecture : En 2025, le bénéfice total des sociétés imposables à l'IS était composé de 20 Md€ d'assiette de la CEBGE, de 31 Md€ de bénéfice imposable à 15 % et de 257 Md€ de bénéfice imposable à 25 %. A ce bénéfice imposable il faut soustraire 111 Md€ de déficit. 1 788 000 entreprises sont bénéficiaires et 1 046 000 déficitaires.</t>
  </si>
  <si>
    <t>Lecture : En 2025, le résultat fiscal de l'ensemble des secteurs d'activité des entreprises imposées à l'IS est de 176,1 Md€, en hausse de 3,2%. Leur IS brut est de 70,5 Md€ et le nombre total d'entreprises est de 2 834 k.</t>
  </si>
  <si>
    <t>Sources : Fichier des redevables professionnels des années 2023 à 2025, DGFiP.</t>
  </si>
  <si>
    <t>Lecture : En 2025, environ 2 605 000 entreprises imposées à l'IS sont des "Très petites entreprises". Elles déclarent un résultat fiscal de 29,4 Md€ (en baisse de 8,2 %) et un IS brut de 14,5 Md€ (en hausse de 4,1 %).</t>
  </si>
  <si>
    <t xml:space="preserve">Notes : (1) Le taux moyen d’imposition est défini comme le rapport entre l’IS brut et le montant des bénéfices. D’autres taux réduits d’imposition existent pour les plus-values sous certaines conditions selon le type de cession concernée (19 %, 15 % ou 0 %) </t>
  </si>
  <si>
    <t>Sources : Fichier des déclarations de revenus, DGFiP.</t>
  </si>
  <si>
    <t>Sources : Fichier des redevables professionnels et fichier des déclarations sur les revenus des années 2024 et 2025, DGFiP.</t>
  </si>
  <si>
    <t>Lecture : En 2025, 397 000 entreprises bénéficient d'une créance (en baisse de 50,3 %). Elles ont utilisé 13,1 Md€ de crédits cette année (en baisse de 0,2 %).</t>
  </si>
  <si>
    <t>Notes : (*) Le crédit impôt recherche comprend ici aussi les crédits d’impôt en faveur de l’innovation et de la recherche collaborative.</t>
  </si>
  <si>
    <t>(1) La législation ne permet pas toujours un remboursement immédiat de certains crédits d’impôt ; le montant du remboursement accordé en 2025 correspond donc à des crédits d’impôt générés</t>
  </si>
  <si>
    <t xml:space="preserve"> au titre de plusieurs exercices passés. Les bénéficiaires sont les entreprises ayant bénéficié d’un remboursement ou d’une imputation au titre du crédit d’impôt au cours de l’année 2025.</t>
  </si>
  <si>
    <t>(2) Les montants de ce tableau sont arrêtés au 30 juin et ne sont pas extrapolés.</t>
  </si>
  <si>
    <t>Note de lecture : En 2025, 4,83 M d'entreprises sont imposées à l'IR (en hausse de 2 %). Parmi elles, 1,21 sont au régime réel des BIC, 0,67 M au régime réel des BNC, 0,23 M au régime réel des BA et 2,72 M aux régimes micro. Ces entreprises à l'IR ont déclaré un résultat fiscal total de 89,8 Md€.</t>
  </si>
  <si>
    <t xml:space="preserve"> </t>
  </si>
  <si>
    <t>Tableau 3: Principaux crédits et réductions d’impôt des entreprises en 2025</t>
  </si>
  <si>
    <t>Tableau 1. Répartition du nombre et du résultat des entreprises imposées à l'IS par secteurs d'activités en 2025 et variation du résultat fiscal entre 2024 et 2025</t>
  </si>
  <si>
    <t>Le champ de cette publication concerne les résultats des entreprises relatifs à l'année 2025. Il existe deux catégories  d'imposition pour les entreprises: l'impôt sur les sociétés (IS) et l'impôt sur le revenu (IR). Au sein de cette dernière catégorie, une entreprise peut être imposée sous le régime des bénéfices industriels et commerciaux (BIC), des bénéfices non commerciaux (BNC) ou des bénéfices agricoles (BA). Les entreprises à l'IR peuvent être imposées sous le régime de la déclaration de résultat ou sous le régime "micro" si elles remplissent certaines conditions (notamment de chiffre d'affaires). Dans ce cas, elles indiquent leur chiffre d'affaires directement sur la déclaration des revenus et bénéficient d'un abattement forfaitaire.</t>
  </si>
  <si>
    <t>Tableau 2: Répartition des montants déclarés à l’IS et leur évolution par catégorie d’entreprises en 2025</t>
  </si>
  <si>
    <t>Tableau 1 : Répartition du nombre, du résultat fiscal et de l'IS brut des entreprises imposées à l'IS par secteurs d'activités en 2025 et variation du résultat fiscal entre 2024 et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</si>
</sst>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
    <numFmt numFmtId="167" formatCode="#,##0.0"/>
    <numFmt numFmtId="168" formatCode="#,##0,"/>
    <numFmt numFmtId="169" formatCode="0.00000"/>
    <numFmt numFmtId="170" formatCode="#,##0.00000"/>
    <numFmt numFmtId="171" formatCode="0.0000"/>
  </numFmts>
  <fonts count="25" x14ac:knownFonts="1">
    <font>
      <sz val="11"/>
      <color theme="1"/>
      <name val="Calibri"/>
      <family val="2"/>
      <scheme val="minor"/>
    </font>
    <font>
      <b/>
      <sz val="16"/>
      <color rgb="FF11499E"/>
      <name val="Calibri"/>
      <family val="2"/>
      <scheme val="minor"/>
    </font>
    <font>
      <b/>
      <sz val="12"/>
      <name val="Calibri"/>
      <family val="2"/>
      <scheme val="minor"/>
    </font>
    <font>
      <b/>
      <sz val="8"/>
      <color indexed="10"/>
      <name val="Calibri"/>
      <family val="2"/>
      <scheme val="minor"/>
    </font>
    <font>
      <b/>
      <sz val="8"/>
      <name val="Calibri"/>
      <family val="2"/>
      <scheme val="minor"/>
    </font>
    <font>
      <sz val="8"/>
      <color rgb="FF11499E"/>
      <name val="Calibri"/>
      <family val="2"/>
      <scheme val="minor"/>
    </font>
    <font>
      <sz val="10"/>
      <name val="Arial"/>
      <family val="2"/>
    </font>
    <font>
      <u/>
      <sz val="11"/>
      <color theme="10"/>
      <name val="Calibri"/>
      <family val="2"/>
      <scheme val="minor"/>
    </font>
    <font>
      <u/>
      <sz val="8.5"/>
      <color indexed="12"/>
      <name val="Arial"/>
      <family val="2"/>
    </font>
    <font>
      <sz val="8"/>
      <name val="Calibri"/>
      <family val="2"/>
      <scheme val="minor"/>
    </font>
    <font>
      <b/>
      <sz val="20"/>
      <name val="Calibri"/>
      <family val="2"/>
      <scheme val="minor"/>
    </font>
    <font>
      <b/>
      <sz val="20"/>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0"/>
      <color theme="1"/>
      <name val="Calibri"/>
      <family val="2"/>
      <scheme val="minor"/>
    </font>
    <font>
      <b/>
      <sz val="10"/>
      <color theme="1"/>
      <name val="Calibri"/>
      <family val="2"/>
      <scheme val="minor"/>
    </font>
    <font>
      <b/>
      <sz val="18"/>
      <name val="Calibri"/>
      <family val="2"/>
      <scheme val="minor"/>
    </font>
    <font>
      <b/>
      <sz val="12"/>
      <color theme="4" tint="-0.499984740745262"/>
      <name val="Calibri"/>
      <family val="2"/>
      <scheme val="minor"/>
    </font>
    <font>
      <b/>
      <sz val="14"/>
      <color theme="4" tint="-0.499984740745262"/>
      <name val="Calibri"/>
      <family val="2"/>
      <scheme val="minor"/>
    </font>
    <font>
      <b/>
      <sz val="10"/>
      <name val="Calibri"/>
      <family val="2"/>
      <scheme val="minor"/>
    </font>
    <font>
      <b/>
      <sz val="11"/>
      <name val="Calibri"/>
      <family val="2"/>
      <scheme val="minor"/>
    </font>
    <font>
      <b/>
      <i/>
      <sz val="11"/>
      <color theme="1"/>
      <name val="Calibri"/>
      <family val="2"/>
      <scheme val="minor"/>
    </font>
    <font>
      <i/>
      <sz val="9"/>
      <color theme="1"/>
      <name val="Calibri"/>
      <family val="2"/>
      <scheme val="minor"/>
    </font>
    <font>
      <b/>
      <i/>
      <sz val="9"/>
      <color theme="1"/>
      <name val="Calibri"/>
      <family val="2"/>
      <scheme val="minor"/>
    </font>
  </fonts>
  <fills count="8">
    <fill>
      <patternFill patternType="none"/>
    </fill>
    <fill>
      <patternFill patternType="gray125"/>
    </fill>
    <fill>
      <patternFill patternType="solid">
        <fgColor indexed="44"/>
        <bgColor indexed="64"/>
      </patternFill>
    </fill>
    <fill>
      <patternFill patternType="solid">
        <fgColor rgb="FFFDCF41"/>
        <bgColor indexed="27"/>
      </patternFill>
    </fill>
    <fill>
      <patternFill patternType="solid">
        <fgColor theme="0"/>
        <bgColor indexed="64"/>
      </patternFill>
    </fill>
    <fill>
      <patternFill patternType="solid">
        <fgColor rgb="FFFFFFFF"/>
        <bgColor indexed="64"/>
      </patternFill>
    </fill>
    <fill>
      <patternFill patternType="solid">
        <fgColor theme="4" tint="0.79998168889431442"/>
        <bgColor indexed="64"/>
      </patternFill>
    </fill>
    <fill>
      <patternFill patternType="solid">
        <fgColor rgb="FFDDEBF7"/>
        <bgColor indexed="64"/>
      </patternFill>
    </fill>
  </fills>
  <borders count="27">
    <border>
      <left/>
      <right/>
      <top/>
      <bottom/>
      <diagonal/>
    </border>
    <border>
      <left style="thin">
        <color rgb="FF11499E"/>
      </left>
      <right/>
      <top style="thin">
        <color rgb="FF11499E"/>
      </top>
      <bottom style="thin">
        <color rgb="FF11499E"/>
      </bottom>
      <diagonal/>
    </border>
    <border>
      <left/>
      <right/>
      <top style="thin">
        <color rgb="FF11499E"/>
      </top>
      <bottom style="thin">
        <color rgb="FF11499E"/>
      </bottom>
      <diagonal/>
    </border>
    <border>
      <left/>
      <right style="thin">
        <color rgb="FF11499E"/>
      </right>
      <top style="thin">
        <color rgb="FF11499E"/>
      </top>
      <bottom style="thin">
        <color rgb="FF11499E"/>
      </bottom>
      <diagonal/>
    </border>
    <border>
      <left style="thin">
        <color indexed="64"/>
      </left>
      <right style="thin">
        <color indexed="64"/>
      </right>
      <top style="thin">
        <color indexed="64"/>
      </top>
      <bottom style="thin">
        <color indexed="64"/>
      </bottom>
      <diagonal/>
    </border>
    <border>
      <left/>
      <right/>
      <top/>
      <bottom style="medium">
        <color theme="4" tint="-0.499984740745262"/>
      </bottom>
      <diagonal/>
    </border>
    <border>
      <left/>
      <right style="medium">
        <color theme="4" tint="-0.499984740745262"/>
      </right>
      <top style="medium">
        <color theme="4" tint="-0.499984740745262"/>
      </top>
      <bottom style="medium">
        <color theme="4" tint="-0.499984740745262"/>
      </bottom>
      <diagonal/>
    </border>
    <border>
      <left/>
      <right style="medium">
        <color theme="4" tint="-0.499984740745262"/>
      </right>
      <top/>
      <bottom/>
      <diagonal/>
    </border>
    <border>
      <left/>
      <right style="medium">
        <color theme="4" tint="-0.499984740745262"/>
      </right>
      <top/>
      <bottom style="medium">
        <color theme="4" tint="-0.499984740745262"/>
      </bottom>
      <diagonal/>
    </border>
    <border>
      <left style="medium">
        <color theme="4" tint="-0.499984740745262"/>
      </left>
      <right style="medium">
        <color theme="4" tint="-0.499984740745262"/>
      </right>
      <top style="medium">
        <color theme="4" tint="-0.499984740745262"/>
      </top>
      <bottom style="medium">
        <color theme="4" tint="-0.499984740745262"/>
      </bottom>
      <diagonal/>
    </border>
    <border>
      <left style="medium">
        <color theme="4" tint="-0.499984740745262"/>
      </left>
      <right style="medium">
        <color theme="4" tint="-0.499984740745262"/>
      </right>
      <top/>
      <bottom/>
      <diagonal/>
    </border>
    <border>
      <left style="medium">
        <color theme="4" tint="-0.499984740745262"/>
      </left>
      <right style="medium">
        <color theme="4" tint="-0.499984740745262"/>
      </right>
      <top/>
      <bottom style="medium">
        <color theme="4" tint="-0.499984740745262"/>
      </bottom>
      <diagonal/>
    </border>
    <border>
      <left/>
      <right/>
      <top style="medium">
        <color theme="4" tint="-0.499984740745262"/>
      </top>
      <bottom style="medium">
        <color theme="4" tint="-0.499984740745262"/>
      </bottom>
      <diagonal/>
    </border>
    <border>
      <left style="thin">
        <color indexed="64"/>
      </left>
      <right/>
      <top style="thin">
        <color indexed="64"/>
      </top>
      <bottom style="thin">
        <color indexed="64"/>
      </bottom>
      <diagonal/>
    </border>
    <border>
      <left style="medium">
        <color rgb="FF2F4077"/>
      </left>
      <right style="medium">
        <color rgb="FF2F4077"/>
      </right>
      <top style="medium">
        <color rgb="FF2F4077"/>
      </top>
      <bottom style="medium">
        <color rgb="FF2F4077"/>
      </bottom>
      <diagonal/>
    </border>
    <border>
      <left style="medium">
        <color rgb="FF2F4077"/>
      </left>
      <right style="medium">
        <color rgb="FF2F4077"/>
      </right>
      <top style="medium">
        <color rgb="FF2F4077"/>
      </top>
      <bottom/>
      <diagonal/>
    </border>
    <border>
      <left style="medium">
        <color rgb="FF2F4077"/>
      </left>
      <right style="medium">
        <color rgb="FF2F4077"/>
      </right>
      <top/>
      <bottom/>
      <diagonal/>
    </border>
    <border>
      <left style="medium">
        <color rgb="FF2F4077"/>
      </left>
      <right style="medium">
        <color rgb="FF2F4077"/>
      </right>
      <top/>
      <bottom style="medium">
        <color rgb="FF2F4077"/>
      </bottom>
      <diagonal/>
    </border>
    <border>
      <left/>
      <right style="medium">
        <color theme="4" tint="-0.499984740745262"/>
      </right>
      <top style="medium">
        <color theme="4" tint="-0.499984740745262"/>
      </top>
      <bottom/>
      <diagonal/>
    </border>
    <border>
      <left/>
      <right style="medium">
        <color theme="4" tint="-0.499984740745262"/>
      </right>
      <top style="medium">
        <color rgb="FF2F4077"/>
      </top>
      <bottom style="medium">
        <color rgb="FF2F4077"/>
      </bottom>
      <diagonal/>
    </border>
    <border>
      <left/>
      <right style="medium">
        <color rgb="FF2F4077"/>
      </right>
      <top style="medium">
        <color rgb="FF2F4077"/>
      </top>
      <bottom style="medium">
        <color rgb="FF2F4077"/>
      </bottom>
      <diagonal/>
    </border>
    <border>
      <left/>
      <right style="medium">
        <color rgb="FF2F4077"/>
      </right>
      <top/>
      <bottom/>
      <diagonal/>
    </border>
    <border>
      <left/>
      <right style="medium">
        <color theme="4" tint="-0.499984740745262"/>
      </right>
      <top/>
      <bottom style="medium">
        <color rgb="FF2F4077"/>
      </bottom>
      <diagonal/>
    </border>
    <border>
      <left/>
      <right style="medium">
        <color rgb="FF2F4077"/>
      </right>
      <top/>
      <bottom style="medium">
        <color rgb="FF2F4077"/>
      </bottom>
      <diagonal/>
    </border>
    <border>
      <left style="medium">
        <color rgb="FF2F4077"/>
      </left>
      <right/>
      <top style="medium">
        <color theme="4" tint="-0.499984740745262"/>
      </top>
      <bottom style="medium">
        <color theme="4" tint="-0.499984740745262"/>
      </bottom>
      <diagonal/>
    </border>
    <border>
      <left/>
      <right/>
      <top style="medium">
        <color rgb="FF2F4077"/>
      </top>
      <bottom style="medium">
        <color rgb="FF2F4077"/>
      </bottom>
      <diagonal/>
    </border>
    <border>
      <left style="medium">
        <color rgb="FF11499E"/>
      </left>
      <right style="medium">
        <color rgb="FF2F4077"/>
      </right>
      <top style="medium">
        <color rgb="FF2F4077"/>
      </top>
      <bottom style="medium">
        <color rgb="FF2F4077"/>
      </bottom>
      <diagonal/>
    </border>
  </borders>
  <cellStyleXfs count="4">
    <xf numFmtId="0" fontId="0" fillId="0" borderId="0"/>
    <xf numFmtId="0" fontId="6" fillId="0" borderId="0"/>
    <xf numFmtId="0" fontId="7" fillId="0" borderId="0" applyNumberFormat="0" applyFill="0" applyBorder="0" applyAlignment="0" applyProtection="0"/>
    <xf numFmtId="0" fontId="8" fillId="0" borderId="0" applyNumberFormat="0" applyFill="0" applyBorder="0" applyAlignment="0" applyProtection="0">
      <alignment vertical="top"/>
      <protection locked="0"/>
    </xf>
  </cellStyleXfs>
  <cellXfs count="114">
    <xf numFmtId="0" fontId="0" fillId="0" borderId="0" xfId="0"/>
    <xf numFmtId="0" fontId="10" fillId="4" borderId="0" xfId="0" applyFont="1" applyFill="1"/>
    <xf numFmtId="1" fontId="11" fillId="4" borderId="0" xfId="0" applyNumberFormat="1" applyFont="1" applyFill="1" applyBorder="1" applyAlignment="1">
      <alignment horizontal="right" vertical="center"/>
    </xf>
    <xf numFmtId="164" fontId="11" fillId="4" borderId="0" xfId="0" applyNumberFormat="1" applyFont="1" applyFill="1" applyBorder="1" applyAlignment="1">
      <alignment horizontal="right" vertical="center"/>
    </xf>
    <xf numFmtId="0" fontId="2" fillId="4" borderId="0" xfId="0" applyFont="1" applyFill="1" applyAlignment="1"/>
    <xf numFmtId="0" fontId="17" fillId="4" borderId="0" xfId="0" applyFont="1" applyFill="1"/>
    <xf numFmtId="0" fontId="0" fillId="0" borderId="0" xfId="0" applyBorder="1"/>
    <xf numFmtId="165" fontId="14" fillId="4" borderId="0" xfId="0" applyNumberFormat="1" applyFont="1" applyFill="1" applyBorder="1" applyAlignment="1">
      <alignment horizontal="right" indent="1"/>
    </xf>
    <xf numFmtId="166" fontId="14" fillId="4" borderId="0" xfId="0" applyNumberFormat="1" applyFont="1" applyFill="1" applyBorder="1" applyAlignment="1">
      <alignment horizontal="right" indent="1"/>
    </xf>
    <xf numFmtId="0" fontId="19" fillId="4" borderId="0" xfId="0" applyFont="1" applyFill="1"/>
    <xf numFmtId="0" fontId="20" fillId="4" borderId="0" xfId="0" applyFont="1" applyFill="1" applyAlignment="1"/>
    <xf numFmtId="0" fontId="0" fillId="0" borderId="5" xfId="0" applyBorder="1"/>
    <xf numFmtId="0" fontId="0" fillId="0" borderId="7" xfId="0" applyBorder="1"/>
    <xf numFmtId="0" fontId="19" fillId="0" borderId="5" xfId="0" applyFont="1" applyBorder="1"/>
    <xf numFmtId="168" fontId="13" fillId="4" borderId="9" xfId="0" applyNumberFormat="1" applyFont="1" applyFill="1" applyBorder="1" applyAlignment="1">
      <alignment horizontal="right" indent="1"/>
    </xf>
    <xf numFmtId="168" fontId="14" fillId="4" borderId="10" xfId="0" applyNumberFormat="1" applyFont="1" applyFill="1" applyBorder="1" applyAlignment="1">
      <alignment horizontal="right" indent="1"/>
    </xf>
    <xf numFmtId="168" fontId="14" fillId="4" borderId="11" xfId="0" applyNumberFormat="1" applyFont="1" applyFill="1" applyBorder="1" applyAlignment="1">
      <alignment horizontal="right" indent="1"/>
    </xf>
    <xf numFmtId="166" fontId="13" fillId="4" borderId="9" xfId="0" applyNumberFormat="1" applyFont="1" applyFill="1" applyBorder="1" applyAlignment="1">
      <alignment horizontal="right" indent="1"/>
    </xf>
    <xf numFmtId="166" fontId="14" fillId="4" borderId="10" xfId="0" applyNumberFormat="1" applyFont="1" applyFill="1" applyBorder="1" applyAlignment="1">
      <alignment horizontal="right" indent="1"/>
    </xf>
    <xf numFmtId="166" fontId="14" fillId="4" borderId="11" xfId="0" applyNumberFormat="1" applyFont="1" applyFill="1" applyBorder="1" applyAlignment="1">
      <alignment horizontal="right" indent="1"/>
    </xf>
    <xf numFmtId="0" fontId="21" fillId="4" borderId="4" xfId="0" applyFont="1" applyFill="1" applyBorder="1" applyAlignment="1">
      <alignment horizontal="center" vertical="center" wrapText="1"/>
    </xf>
    <xf numFmtId="0" fontId="21" fillId="4" borderId="4" xfId="0" applyFont="1" applyFill="1" applyBorder="1" applyAlignment="1">
      <alignment horizontal="center" wrapText="1"/>
    </xf>
    <xf numFmtId="0" fontId="12" fillId="5" borderId="4" xfId="0" applyFont="1" applyFill="1" applyBorder="1" applyAlignment="1">
      <alignment horizontal="center" vertical="center" wrapText="1"/>
    </xf>
    <xf numFmtId="3" fontId="0" fillId="5" borderId="4" xfId="0" applyNumberFormat="1" applyFont="1" applyFill="1" applyBorder="1" applyAlignment="1">
      <alignment horizontal="right" vertical="center" wrapText="1"/>
    </xf>
    <xf numFmtId="0" fontId="12" fillId="4" borderId="4" xfId="0" applyFont="1" applyFill="1" applyBorder="1" applyAlignment="1">
      <alignment horizontal="center" vertical="center"/>
    </xf>
    <xf numFmtId="1" fontId="12" fillId="4" borderId="4" xfId="0" applyNumberFormat="1" applyFont="1" applyFill="1" applyBorder="1" applyAlignment="1">
      <alignment horizontal="center" vertical="center"/>
    </xf>
    <xf numFmtId="1" fontId="12" fillId="4" borderId="4" xfId="0" applyNumberFormat="1" applyFont="1" applyFill="1" applyBorder="1" applyAlignment="1">
      <alignment horizontal="right" vertical="center"/>
    </xf>
    <xf numFmtId="164" fontId="12" fillId="4" borderId="4" xfId="0" applyNumberFormat="1" applyFont="1" applyFill="1" applyBorder="1" applyAlignment="1">
      <alignment horizontal="right" vertical="center"/>
    </xf>
    <xf numFmtId="164" fontId="12" fillId="4" borderId="4" xfId="0" applyNumberFormat="1" applyFont="1" applyFill="1" applyBorder="1" applyAlignment="1">
      <alignment horizontal="right" vertical="center" indent="1"/>
    </xf>
    <xf numFmtId="167" fontId="16" fillId="4" borderId="9" xfId="0" applyNumberFormat="1" applyFont="1" applyFill="1" applyBorder="1" applyAlignment="1">
      <alignment horizontal="right" indent="1"/>
    </xf>
    <xf numFmtId="1" fontId="12" fillId="4" borderId="0" xfId="0" applyNumberFormat="1" applyFont="1" applyFill="1" applyBorder="1" applyAlignment="1">
      <alignment horizontal="center" vertical="center"/>
    </xf>
    <xf numFmtId="1" fontId="22" fillId="4" borderId="4" xfId="0" applyNumberFormat="1" applyFont="1" applyFill="1" applyBorder="1" applyAlignment="1">
      <alignment horizontal="center" vertical="center"/>
    </xf>
    <xf numFmtId="2" fontId="12" fillId="4" borderId="4" xfId="0" applyNumberFormat="1" applyFont="1" applyFill="1" applyBorder="1" applyAlignment="1">
      <alignment horizontal="right" vertical="center" indent="1"/>
    </xf>
    <xf numFmtId="2" fontId="12" fillId="4" borderId="4" xfId="0" applyNumberFormat="1" applyFont="1" applyFill="1" applyBorder="1" applyAlignment="1">
      <alignment horizontal="center" vertical="center" wrapText="1"/>
    </xf>
    <xf numFmtId="0" fontId="22" fillId="4" borderId="4" xfId="0" applyFont="1" applyFill="1" applyBorder="1" applyAlignment="1">
      <alignment horizontal="center" vertical="center" wrapText="1"/>
    </xf>
    <xf numFmtId="11" fontId="0" fillId="0" borderId="0" xfId="0" applyNumberFormat="1"/>
    <xf numFmtId="0" fontId="15" fillId="0" borderId="0" xfId="0" applyFont="1"/>
    <xf numFmtId="3" fontId="0" fillId="0" borderId="0" xfId="0" applyNumberFormat="1"/>
    <xf numFmtId="2" fontId="0" fillId="0" borderId="0" xfId="0" applyNumberFormat="1"/>
    <xf numFmtId="164" fontId="0" fillId="0" borderId="0" xfId="0" applyNumberFormat="1"/>
    <xf numFmtId="164" fontId="0" fillId="4" borderId="0" xfId="0" applyNumberFormat="1" applyFont="1" applyFill="1" applyBorder="1" applyAlignment="1">
      <alignment horizontal="right" vertical="center"/>
    </xf>
    <xf numFmtId="169" fontId="0" fillId="0" borderId="0" xfId="0" applyNumberFormat="1"/>
    <xf numFmtId="170" fontId="0" fillId="0" borderId="0" xfId="0" applyNumberFormat="1"/>
    <xf numFmtId="171" fontId="0" fillId="0" borderId="0" xfId="0" applyNumberFormat="1"/>
    <xf numFmtId="167" fontId="13" fillId="4" borderId="9" xfId="0" applyNumberFormat="1" applyFont="1" applyFill="1" applyBorder="1" applyAlignment="1">
      <alignment horizontal="right" indent="1"/>
    </xf>
    <xf numFmtId="167" fontId="14" fillId="4" borderId="10" xfId="0" applyNumberFormat="1" applyFont="1" applyFill="1" applyBorder="1" applyAlignment="1">
      <alignment horizontal="right" indent="1"/>
    </xf>
    <xf numFmtId="167" fontId="14" fillId="4" borderId="11" xfId="0" applyNumberFormat="1" applyFont="1" applyFill="1" applyBorder="1" applyAlignment="1">
      <alignment horizontal="right" indent="1"/>
    </xf>
    <xf numFmtId="3" fontId="0" fillId="0" borderId="4" xfId="0" applyNumberFormat="1" applyBorder="1"/>
    <xf numFmtId="0" fontId="0" fillId="0" borderId="4" xfId="0" applyBorder="1"/>
    <xf numFmtId="0" fontId="12" fillId="5" borderId="13" xfId="0" applyFont="1" applyFill="1" applyBorder="1" applyAlignment="1">
      <alignment horizontal="center" vertical="center" wrapText="1"/>
    </xf>
    <xf numFmtId="3" fontId="0" fillId="0" borderId="4" xfId="0" applyNumberFormat="1" applyFont="1" applyFill="1" applyBorder="1"/>
    <xf numFmtId="164" fontId="0" fillId="0" borderId="4" xfId="0" applyNumberFormat="1" applyBorder="1"/>
    <xf numFmtId="0" fontId="19" fillId="0" borderId="0" xfId="0" applyFont="1" applyBorder="1"/>
    <xf numFmtId="3" fontId="16" fillId="6" borderId="14" xfId="0" applyNumberFormat="1" applyFont="1" applyFill="1" applyBorder="1" applyAlignment="1">
      <alignment horizontal="center" vertical="center" wrapText="1"/>
    </xf>
    <xf numFmtId="167" fontId="15" fillId="4" borderId="7" xfId="0" applyNumberFormat="1" applyFont="1" applyFill="1" applyBorder="1" applyAlignment="1">
      <alignment horizontal="right" vertical="center" indent="1"/>
    </xf>
    <xf numFmtId="167" fontId="15" fillId="4" borderId="21" xfId="0" applyNumberFormat="1" applyFont="1" applyFill="1" applyBorder="1" applyAlignment="1">
      <alignment horizontal="right" vertical="center" indent="1"/>
    </xf>
    <xf numFmtId="167" fontId="15" fillId="4" borderId="22" xfId="0" applyNumberFormat="1" applyFont="1" applyFill="1" applyBorder="1" applyAlignment="1">
      <alignment horizontal="right" vertical="center" indent="1"/>
    </xf>
    <xf numFmtId="167" fontId="15" fillId="4" borderId="23" xfId="0" applyNumberFormat="1" applyFont="1" applyFill="1" applyBorder="1" applyAlignment="1">
      <alignment horizontal="right" vertical="center" indent="1"/>
    </xf>
    <xf numFmtId="167" fontId="16" fillId="4" borderId="11" xfId="0" applyNumberFormat="1" applyFont="1" applyFill="1" applyBorder="1" applyAlignment="1">
      <alignment horizontal="right" indent="1"/>
    </xf>
    <xf numFmtId="0" fontId="18" fillId="0" borderId="0" xfId="0" applyFont="1" applyBorder="1"/>
    <xf numFmtId="3" fontId="16" fillId="7" borderId="8" xfId="0" applyNumberFormat="1" applyFont="1" applyFill="1" applyBorder="1" applyAlignment="1">
      <alignment horizontal="left"/>
    </xf>
    <xf numFmtId="3" fontId="16" fillId="7" borderId="16" xfId="0" applyNumberFormat="1" applyFont="1" applyFill="1" applyBorder="1" applyAlignment="1">
      <alignment horizontal="left"/>
    </xf>
    <xf numFmtId="3" fontId="16" fillId="7" borderId="18" xfId="0" applyNumberFormat="1" applyFont="1" applyFill="1" applyBorder="1" applyAlignment="1">
      <alignment horizontal="left"/>
    </xf>
    <xf numFmtId="3" fontId="16" fillId="7" borderId="15" xfId="0" applyNumberFormat="1" applyFont="1" applyFill="1" applyBorder="1" applyAlignment="1">
      <alignment horizontal="left"/>
    </xf>
    <xf numFmtId="3" fontId="24" fillId="7" borderId="16" xfId="0" applyNumberFormat="1" applyFont="1" applyFill="1" applyBorder="1" applyAlignment="1"/>
    <xf numFmtId="3" fontId="16" fillId="7" borderId="17" xfId="0" applyNumberFormat="1" applyFont="1" applyFill="1" applyBorder="1" applyAlignment="1">
      <alignment horizontal="left"/>
    </xf>
    <xf numFmtId="49" fontId="16" fillId="6" borderId="12" xfId="0" applyNumberFormat="1" applyFont="1" applyFill="1" applyBorder="1" applyAlignment="1">
      <alignment horizontal="center" vertical="center" wrapText="1"/>
    </xf>
    <xf numFmtId="49" fontId="16" fillId="6" borderId="9" xfId="0" applyNumberFormat="1" applyFont="1" applyFill="1" applyBorder="1" applyAlignment="1">
      <alignment horizontal="center" vertical="center" wrapText="1"/>
    </xf>
    <xf numFmtId="167" fontId="16" fillId="4" borderId="12" xfId="0" applyNumberFormat="1" applyFont="1" applyFill="1" applyBorder="1" applyAlignment="1">
      <alignment horizontal="right" indent="1"/>
    </xf>
    <xf numFmtId="167" fontId="16" fillId="4" borderId="6" xfId="0" applyNumberFormat="1" applyFont="1" applyFill="1" applyBorder="1" applyAlignment="1">
      <alignment horizontal="right" indent="1"/>
    </xf>
    <xf numFmtId="167" fontId="16" fillId="4" borderId="8" xfId="0" applyNumberFormat="1" applyFont="1" applyFill="1" applyBorder="1" applyAlignment="1">
      <alignment horizontal="right" indent="1"/>
    </xf>
    <xf numFmtId="167" fontId="15" fillId="4" borderId="10" xfId="0" applyNumberFormat="1" applyFont="1" applyFill="1" applyBorder="1" applyAlignment="1">
      <alignment horizontal="right" indent="1"/>
    </xf>
    <xf numFmtId="167" fontId="15" fillId="4" borderId="0" xfId="0" applyNumberFormat="1" applyFont="1" applyFill="1" applyBorder="1" applyAlignment="1">
      <alignment horizontal="right" indent="1"/>
    </xf>
    <xf numFmtId="167" fontId="15" fillId="4" borderId="7" xfId="0" applyNumberFormat="1" applyFont="1" applyFill="1" applyBorder="1" applyAlignment="1">
      <alignment horizontal="right" indent="1"/>
    </xf>
    <xf numFmtId="167" fontId="23" fillId="4" borderId="10" xfId="0" applyNumberFormat="1" applyFont="1" applyFill="1" applyBorder="1" applyAlignment="1">
      <alignment horizontal="right" indent="1"/>
    </xf>
    <xf numFmtId="167" fontId="23" fillId="4" borderId="0" xfId="0" applyNumberFormat="1" applyFont="1" applyFill="1" applyBorder="1" applyAlignment="1">
      <alignment horizontal="right" indent="1"/>
    </xf>
    <xf numFmtId="167" fontId="23" fillId="4" borderId="7" xfId="0" applyNumberFormat="1" applyFont="1" applyFill="1" applyBorder="1" applyAlignment="1">
      <alignment horizontal="right" indent="1"/>
    </xf>
    <xf numFmtId="167" fontId="15" fillId="4" borderId="11" xfId="0" applyNumberFormat="1" applyFont="1" applyFill="1" applyBorder="1" applyAlignment="1">
      <alignment horizontal="right" indent="1"/>
    </xf>
    <xf numFmtId="167" fontId="15" fillId="4" borderId="5" xfId="0" applyNumberFormat="1" applyFont="1" applyFill="1" applyBorder="1" applyAlignment="1">
      <alignment horizontal="right" indent="1"/>
    </xf>
    <xf numFmtId="167" fontId="15" fillId="4" borderId="8" xfId="0" applyNumberFormat="1" applyFont="1" applyFill="1" applyBorder="1" applyAlignment="1">
      <alignment horizontal="right" indent="1"/>
    </xf>
    <xf numFmtId="3" fontId="16" fillId="4" borderId="8" xfId="0" applyNumberFormat="1" applyFont="1" applyFill="1" applyBorder="1" applyAlignment="1">
      <alignment horizontal="right" indent="1"/>
    </xf>
    <xf numFmtId="3" fontId="15" fillId="4" borderId="7" xfId="0" applyNumberFormat="1" applyFont="1" applyFill="1" applyBorder="1" applyAlignment="1">
      <alignment horizontal="right" indent="1"/>
    </xf>
    <xf numFmtId="3" fontId="16" fillId="4" borderId="6" xfId="0" applyNumberFormat="1" applyFont="1" applyFill="1" applyBorder="1" applyAlignment="1">
      <alignment horizontal="right" indent="1"/>
    </xf>
    <xf numFmtId="3" fontId="23" fillId="4" borderId="7" xfId="0" applyNumberFormat="1" applyFont="1" applyFill="1" applyBorder="1" applyAlignment="1">
      <alignment horizontal="right" indent="1"/>
    </xf>
    <xf numFmtId="3" fontId="15" fillId="4" borderId="8" xfId="0" applyNumberFormat="1" applyFont="1" applyFill="1" applyBorder="1" applyAlignment="1">
      <alignment horizontal="right" indent="1"/>
    </xf>
    <xf numFmtId="3" fontId="16" fillId="6" borderId="19" xfId="0" applyNumberFormat="1" applyFont="1" applyFill="1" applyBorder="1" applyAlignment="1">
      <alignment horizontal="center" vertical="center" wrapText="1"/>
    </xf>
    <xf numFmtId="3" fontId="16" fillId="6" borderId="25" xfId="0" applyNumberFormat="1" applyFont="1" applyFill="1" applyBorder="1" applyAlignment="1">
      <alignment horizontal="center" vertical="center" wrapText="1"/>
    </xf>
    <xf numFmtId="3" fontId="16" fillId="6" borderId="26" xfId="0" applyNumberFormat="1" applyFont="1" applyFill="1" applyBorder="1" applyAlignment="1">
      <alignment horizontal="center" vertical="center" wrapText="1"/>
    </xf>
    <xf numFmtId="3" fontId="12" fillId="7" borderId="9" xfId="0" applyNumberFormat="1" applyFont="1" applyFill="1" applyBorder="1" applyAlignment="1">
      <alignment horizontal="center" vertical="center" wrapText="1"/>
    </xf>
    <xf numFmtId="3" fontId="16" fillId="7" borderId="16" xfId="0" applyNumberFormat="1" applyFont="1" applyFill="1" applyBorder="1" applyAlignment="1">
      <alignment horizontal="left" vertical="center" wrapText="1"/>
    </xf>
    <xf numFmtId="3" fontId="16" fillId="7" borderId="17" xfId="0" applyNumberFormat="1" applyFont="1" applyFill="1" applyBorder="1" applyAlignment="1">
      <alignment horizontal="left" vertical="center" wrapText="1"/>
    </xf>
    <xf numFmtId="3" fontId="16" fillId="7" borderId="14" xfId="0" applyNumberFormat="1" applyFont="1" applyFill="1" applyBorder="1" applyAlignment="1">
      <alignment horizontal="left" vertical="center" wrapText="1"/>
    </xf>
    <xf numFmtId="3" fontId="16" fillId="7" borderId="9" xfId="0" applyNumberFormat="1" applyFont="1" applyFill="1" applyBorder="1" applyAlignment="1">
      <alignment horizontal="center" vertical="center" wrapText="1"/>
    </xf>
    <xf numFmtId="3" fontId="16" fillId="7" borderId="9" xfId="0" applyNumberFormat="1" applyFont="1" applyFill="1" applyBorder="1" applyAlignment="1">
      <alignment horizontal="center"/>
    </xf>
    <xf numFmtId="3" fontId="16" fillId="7" borderId="10" xfId="0" applyNumberFormat="1" applyFont="1" applyFill="1" applyBorder="1"/>
    <xf numFmtId="3" fontId="16" fillId="7" borderId="11" xfId="0" applyNumberFormat="1" applyFont="1" applyFill="1" applyBorder="1"/>
    <xf numFmtId="167" fontId="16" fillId="4" borderId="19" xfId="0" applyNumberFormat="1" applyFont="1" applyFill="1" applyBorder="1" applyAlignment="1">
      <alignment horizontal="right" vertical="center" indent="1"/>
    </xf>
    <xf numFmtId="167" fontId="16" fillId="4" borderId="20" xfId="0" applyNumberFormat="1" applyFont="1" applyFill="1" applyBorder="1" applyAlignment="1">
      <alignment horizontal="right" vertical="center" indent="1"/>
    </xf>
    <xf numFmtId="0" fontId="16" fillId="0" borderId="0" xfId="0" applyFont="1"/>
    <xf numFmtId="0" fontId="4" fillId="2" borderId="0" xfId="1" applyFont="1" applyFill="1" applyBorder="1" applyAlignment="1">
      <alignment horizontal="left"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0" xfId="0" applyFont="1" applyFill="1" applyAlignment="1">
      <alignment horizontal="left" wrapText="1"/>
    </xf>
    <xf numFmtId="0" fontId="3" fillId="0" borderId="0" xfId="0" applyFont="1" applyAlignment="1">
      <alignment wrapText="1"/>
    </xf>
    <xf numFmtId="0" fontId="4" fillId="2" borderId="0" xfId="0" applyFont="1" applyFill="1" applyAlignment="1">
      <alignment horizontal="left" wrapText="1"/>
    </xf>
    <xf numFmtId="0" fontId="5" fillId="0" borderId="0" xfId="0" applyFont="1" applyAlignment="1">
      <alignment horizontal="left" vertical="center" wrapText="1"/>
    </xf>
    <xf numFmtId="0" fontId="7" fillId="0" borderId="0" xfId="2"/>
    <xf numFmtId="0" fontId="9" fillId="3" borderId="0" xfId="3" applyFont="1" applyFill="1" applyAlignment="1" applyProtection="1">
      <alignment horizontal="center"/>
    </xf>
    <xf numFmtId="0" fontId="7" fillId="0" borderId="0" xfId="2" applyFill="1" applyAlignment="1">
      <alignment horizontal="left" vertical="center" wrapText="1"/>
    </xf>
    <xf numFmtId="3" fontId="16" fillId="6" borderId="15" xfId="0" applyNumberFormat="1" applyFont="1" applyFill="1" applyBorder="1" applyAlignment="1">
      <alignment horizontal="center" vertical="center" wrapText="1"/>
    </xf>
    <xf numFmtId="3" fontId="16" fillId="6" borderId="17" xfId="0" applyNumberFormat="1" applyFont="1" applyFill="1" applyBorder="1" applyAlignment="1">
      <alignment horizontal="center" vertical="center" wrapText="1"/>
    </xf>
    <xf numFmtId="3" fontId="16" fillId="6" borderId="24" xfId="0" applyNumberFormat="1" applyFont="1" applyFill="1" applyBorder="1" applyAlignment="1">
      <alignment horizontal="center" vertical="center" wrapText="1"/>
    </xf>
    <xf numFmtId="3" fontId="16" fillId="6" borderId="12" xfId="0" applyNumberFormat="1" applyFont="1" applyFill="1" applyBorder="1" applyAlignment="1">
      <alignment horizontal="center" vertical="center" wrapText="1"/>
    </xf>
  </cellXfs>
  <cellStyles count="4">
    <cellStyle name="Lien hypertexte" xfId="2" builtinId="8"/>
    <cellStyle name="Lien hypertexte_Données trimestrielles sur les heures supplémentaires (juillet 2012)" xfId="3" xr:uid="{00000000-0005-0000-0000-000001000000}"/>
    <cellStyle name="Normal" xfId="0" builtinId="0"/>
    <cellStyle name="Normal_Tdb_CIVIS_finjuillet2011_internet" xfId="1" xr:uid="{00000000-0005-0000-0000-000003000000}"/>
  </cellStyles>
  <dxfs count="0"/>
  <tableStyles count="0" defaultTableStyle="TableStyleMedium2" defaultPivotStyle="PivotStyleLight16"/>
  <colors>
    <mruColors>
      <color rgb="FFDDEBF7"/>
      <color rgb="FF2F4077"/>
      <color rgb="FF11499E"/>
      <color rgb="FFFDCF41"/>
      <color rgb="FFFF8D7E"/>
      <color rgb="FF5593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spc="0" baseline="0">
                <a:solidFill>
                  <a:sysClr val="windowText" lastClr="000000"/>
                </a:solidFill>
                <a:latin typeface="+mn-lt"/>
                <a:ea typeface="+mn-ea"/>
                <a:cs typeface="+mn-cs"/>
              </a:defRPr>
            </a:pPr>
            <a:r>
              <a:rPr lang="fr-FR" sz="1600"/>
              <a:t>Résultat des entreprises</a:t>
            </a:r>
          </a:p>
        </c:rich>
      </c:tx>
      <c:overlay val="0"/>
      <c:spPr>
        <a:noFill/>
        <a:ln>
          <a:noFill/>
        </a:ln>
        <a:effectLst/>
      </c:spPr>
      <c:txPr>
        <a:bodyPr rot="0" spcFirstLastPara="1" vertOverflow="ellipsis" vert="horz" wrap="square" anchor="ctr" anchorCtr="1"/>
        <a:lstStyle/>
        <a:p>
          <a:pPr>
            <a:defRPr sz="192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8.695332853228771E-2"/>
          <c:y val="0.14546142390686265"/>
          <c:w val="0.91027110098079844"/>
          <c:h val="0.59090275549248295"/>
        </c:manualLayout>
      </c:layout>
      <c:barChart>
        <c:barDir val="col"/>
        <c:grouping val="stacked"/>
        <c:varyColors val="0"/>
        <c:ser>
          <c:idx val="2"/>
          <c:order val="0"/>
          <c:tx>
            <c:strRef>
              <c:f>'Graphique 1'!$B$36</c:f>
              <c:strCache>
                <c:ptCount val="1"/>
                <c:pt idx="0">
                  <c:v>Résultat fiscal des entreprises IR</c:v>
                </c:pt>
              </c:strCache>
            </c:strRef>
          </c:tx>
          <c:spPr>
            <a:solidFill>
              <a:schemeClr val="accent1">
                <a:lumMod val="60000"/>
                <a:lumOff val="40000"/>
              </a:schemeClr>
            </a:solidFill>
            <a:ln>
              <a:solidFill>
                <a:schemeClr val="accent1">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'Graphique 1'!$C$34:$J$34</c:f>
              <c:numCache>
                <c:formatCode>General</c:formatCode>
                <c:ptCount val="8"/>
                <c:pt idx="0">
                  <c:v>2018</c:v>
                </c:pt>
                <c:pt idx="1">
                  <c:v>2019</c:v>
                </c:pt>
                <c:pt idx="2">
                  <c:v>2020</c:v>
                </c:pt>
                <c:pt idx="3">
                  <c:v>2021</c:v>
                </c:pt>
                <c:pt idx="4">
                  <c:v>2022</c:v>
                </c:pt>
                <c:pt idx="5">
                  <c:v>2023</c:v>
                </c:pt>
                <c:pt idx="6">
                  <c:v>2024</c:v>
                </c:pt>
                <c:pt idx="7">
                  <c:v>2025</c:v>
                </c:pt>
              </c:numCache>
            </c:numRef>
          </c:cat>
          <c:val>
            <c:numRef>
              <c:f>'Graphique 1'!$C$36:$J$36</c:f>
              <c:numCache>
                <c:formatCode>0</c:formatCode>
                <c:ptCount val="8"/>
                <c:pt idx="0">
                  <c:v>76.806051018000005</c:v>
                </c:pt>
                <c:pt idx="1">
                  <c:v>77.780046209999995</c:v>
                </c:pt>
                <c:pt idx="2">
                  <c:v>72.098523166000007</c:v>
                </c:pt>
                <c:pt idx="3">
                  <c:v>80.070530955999999</c:v>
                </c:pt>
                <c:pt idx="4">
                  <c:v>87.185480816999998</c:v>
                </c:pt>
                <c:pt idx="5">
                  <c:v>84.286251536296803</c:v>
                </c:pt>
                <c:pt idx="6">
                  <c:v>88.183478352000009</c:v>
                </c:pt>
                <c:pt idx="7">
                  <c:v>89.750253878999999</c:v>
                </c:pt>
              </c:numCache>
            </c:numRef>
          </c:val>
          <c:extLst xmlns:c15="http://schemas.microsoft.com/office/drawing/2012/chart">
            <c:ext xmlns:c16="http://schemas.microsoft.com/office/drawing/2014/chart" uri="{C3380CC4-5D6E-409C-BE32-E72D297353CC}">
              <c16:uniqueId val="{00000000-BAB4-47B1-8DAD-71F91BF805E9}"/>
            </c:ext>
          </c:extLst>
        </c:ser>
        <c:ser>
          <c:idx val="0"/>
          <c:order val="1"/>
          <c:tx>
            <c:strRef>
              <c:f>'Graphique 1'!$B$35</c:f>
              <c:strCache>
                <c:ptCount val="1"/>
                <c:pt idx="0">
                  <c:v>Résultat fiscal des entreprises IS</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'Graphique 1'!$C$34:$J$34</c:f>
              <c:numCache>
                <c:formatCode>General</c:formatCode>
                <c:ptCount val="8"/>
                <c:pt idx="0">
                  <c:v>2018</c:v>
                </c:pt>
                <c:pt idx="1">
                  <c:v>2019</c:v>
                </c:pt>
                <c:pt idx="2">
                  <c:v>2020</c:v>
                </c:pt>
                <c:pt idx="3">
                  <c:v>2021</c:v>
                </c:pt>
                <c:pt idx="4">
                  <c:v>2022</c:v>
                </c:pt>
                <c:pt idx="5">
                  <c:v>2023</c:v>
                </c:pt>
                <c:pt idx="6">
                  <c:v>2024</c:v>
                </c:pt>
                <c:pt idx="7">
                  <c:v>2025</c:v>
                </c:pt>
              </c:numCache>
            </c:numRef>
          </c:cat>
          <c:val>
            <c:numRef>
              <c:f>'Graphique 1'!$C$35:$J$35</c:f>
              <c:numCache>
                <c:formatCode>0</c:formatCode>
                <c:ptCount val="8"/>
                <c:pt idx="0">
                  <c:v>112.88612356500001</c:v>
                </c:pt>
                <c:pt idx="1">
                  <c:v>154.445971023</c:v>
                </c:pt>
                <c:pt idx="2">
                  <c:v>90.622457901999994</c:v>
                </c:pt>
                <c:pt idx="3">
                  <c:v>186.401839889</c:v>
                </c:pt>
                <c:pt idx="4">
                  <c:v>164.142080819</c:v>
                </c:pt>
                <c:pt idx="5">
                  <c:v>180.91149167</c:v>
                </c:pt>
                <c:pt idx="6">
                  <c:v>170.55160426099999</c:v>
                </c:pt>
                <c:pt idx="7">
                  <c:v>176.05761920399999</c:v>
                </c:pt>
              </c:numCache>
            </c:numRef>
          </c:val>
          <c:extLst xmlns:c15="http://schemas.microsoft.com/office/drawing/2012/chart">
            <c:ext xmlns:c16="http://schemas.microsoft.com/office/drawing/2014/chart" uri="{C3380CC4-5D6E-409C-BE32-E72D297353CC}">
              <c16:uniqueId val="{00000001-BAB4-47B1-8DAD-71F91BF805E9}"/>
            </c:ext>
          </c:extLst>
        </c:ser>
        <c:dLbls>
          <c:dLblPos val="ctr"/>
          <c:showLegendKey val="0"/>
          <c:showVal val="1"/>
          <c:showCatName val="0"/>
          <c:showSerName val="0"/>
          <c:showPercent val="0"/>
          <c:showBubbleSize val="0"/>
        </c:dLbls>
        <c:gapWidth val="80"/>
        <c:overlap val="100"/>
        <c:axId val="763856975"/>
        <c:axId val="763857391"/>
        <c:extLst/>
      </c:barChart>
      <c:dateAx>
        <c:axId val="76385697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crossAx val="763857391"/>
        <c:crosses val="autoZero"/>
        <c:auto val="0"/>
        <c:lblOffset val="100"/>
        <c:baseTimeUnit val="days"/>
        <c:majorUnit val="1"/>
      </c:dateAx>
      <c:valAx>
        <c:axId val="763857391"/>
        <c:scaling>
          <c:orientation val="minMax"/>
          <c:max val="280"/>
          <c:min val="0"/>
        </c:scaling>
        <c:delete val="0"/>
        <c:axPos val="l"/>
        <c:title>
          <c:tx>
            <c:rich>
              <a:bodyPr rot="0" spcFirstLastPara="1" vertOverflow="ellipsis" wrap="square" anchor="ctr" anchorCtr="1"/>
              <a:lstStyle/>
              <a:p>
                <a:pPr>
                  <a:defRPr sz="1600" b="1" i="0" u="none" strike="noStrike" kern="1200" baseline="0">
                    <a:solidFill>
                      <a:sysClr val="windowText" lastClr="000000"/>
                    </a:solidFill>
                    <a:latin typeface="+mn-lt"/>
                    <a:ea typeface="+mn-ea"/>
                    <a:cs typeface="+mn-cs"/>
                  </a:defRPr>
                </a:pPr>
                <a:r>
                  <a:rPr lang="fr-FR"/>
                  <a:t>Md€</a:t>
                </a:r>
              </a:p>
            </c:rich>
          </c:tx>
          <c:layout>
            <c:manualLayout>
              <c:xMode val="edge"/>
              <c:yMode val="edge"/>
              <c:x val="9.0351868949755461E-4"/>
              <c:y val="1.3666663079615988E-3"/>
            </c:manualLayout>
          </c:layout>
          <c:overlay val="0"/>
          <c:spPr>
            <a:noFill/>
            <a:ln>
              <a:noFill/>
            </a:ln>
            <a:effectLst/>
          </c:spPr>
          <c:txPr>
            <a:bodyPr rot="0" spcFirstLastPara="1" vertOverflow="ellipsis" wrap="square" anchor="ctr" anchorCtr="1"/>
            <a:lstStyle/>
            <a:p>
              <a:pPr>
                <a:defRPr sz="1600" b="1" i="0" u="none" strike="noStrike" kern="1200" baseline="0">
                  <a:solidFill>
                    <a:sysClr val="windowText" lastClr="000000"/>
                  </a:solidFill>
                  <a:latin typeface="+mn-lt"/>
                  <a:ea typeface="+mn-ea"/>
                  <a:cs typeface="+mn-cs"/>
                </a:defRPr>
              </a:pPr>
              <a:endParaRPr lang="fr-FR"/>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crossAx val="763856975"/>
        <c:crosses val="autoZero"/>
        <c:crossBetween val="between"/>
        <c:majorUnit val="40"/>
      </c:valAx>
      <c:spPr>
        <a:noFill/>
        <a:ln>
          <a:noFill/>
        </a:ln>
        <a:effectLst/>
      </c:spPr>
    </c:plotArea>
    <c:legend>
      <c:legendPos val="b"/>
      <c:layout>
        <c:manualLayout>
          <c:xMode val="edge"/>
          <c:yMode val="edge"/>
          <c:x val="9.0433267029890393E-3"/>
          <c:y val="0.82534420059842539"/>
          <c:w val="0.98444912965114328"/>
          <c:h val="0.17465579940157464"/>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sz="1600" b="1">
          <a:solidFill>
            <a:sysClr val="windowText" lastClr="000000"/>
          </a:solidFill>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spc="0" baseline="0">
                <a:solidFill>
                  <a:sysClr val="windowText" lastClr="000000"/>
                </a:solidFill>
                <a:latin typeface="+mn-lt"/>
                <a:ea typeface="+mn-ea"/>
                <a:cs typeface="+mn-cs"/>
              </a:defRPr>
            </a:pPr>
            <a:r>
              <a:rPr lang="fr-FR" sz="1600"/>
              <a:t>Nombre d'entreprises</a:t>
            </a:r>
          </a:p>
        </c:rich>
      </c:tx>
      <c:overlay val="0"/>
      <c:spPr>
        <a:noFill/>
        <a:ln>
          <a:noFill/>
        </a:ln>
        <a:effectLst/>
      </c:spPr>
      <c:txPr>
        <a:bodyPr rot="0" spcFirstLastPara="1" vertOverflow="ellipsis" vert="horz" wrap="square" anchor="ctr" anchorCtr="1"/>
        <a:lstStyle/>
        <a:p>
          <a:pPr>
            <a:defRPr sz="192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7.1602431275038E-2"/>
          <c:y val="0.11262069291873676"/>
          <c:w val="0.92562197817378089"/>
          <c:h val="0.60732312098654595"/>
        </c:manualLayout>
      </c:layout>
      <c:barChart>
        <c:barDir val="col"/>
        <c:grouping val="stacked"/>
        <c:varyColors val="0"/>
        <c:ser>
          <c:idx val="0"/>
          <c:order val="0"/>
          <c:tx>
            <c:strRef>
              <c:f>'Graphique 1'!$B$28</c:f>
              <c:strCache>
                <c:ptCount val="1"/>
                <c:pt idx="0">
                  <c:v>Nombre d'entreprises à l'IR </c:v>
                </c:pt>
              </c:strCache>
            </c:strRef>
          </c:tx>
          <c:spPr>
            <a:solidFill>
              <a:schemeClr val="accent1">
                <a:lumMod val="60000"/>
                <a:lumOff val="40000"/>
              </a:schemeClr>
            </a:solidFill>
            <a:ln>
              <a:solidFill>
                <a:schemeClr val="accent1">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'Graphique 1'!$C$26:$J$26</c:f>
              <c:numCache>
                <c:formatCode>0</c:formatCode>
                <c:ptCount val="8"/>
                <c:pt idx="0">
                  <c:v>2018</c:v>
                </c:pt>
                <c:pt idx="1">
                  <c:v>2019</c:v>
                </c:pt>
                <c:pt idx="2">
                  <c:v>2020</c:v>
                </c:pt>
                <c:pt idx="3">
                  <c:v>2021</c:v>
                </c:pt>
                <c:pt idx="4">
                  <c:v>2022</c:v>
                </c:pt>
                <c:pt idx="5">
                  <c:v>2023</c:v>
                </c:pt>
                <c:pt idx="6">
                  <c:v>2024</c:v>
                </c:pt>
                <c:pt idx="7">
                  <c:v>2025</c:v>
                </c:pt>
              </c:numCache>
            </c:numRef>
          </c:cat>
          <c:val>
            <c:numRef>
              <c:f>'Graphique 1'!$C$28:$J$28</c:f>
              <c:numCache>
                <c:formatCode>0.0</c:formatCode>
                <c:ptCount val="8"/>
                <c:pt idx="0">
                  <c:v>3.3868040000000001</c:v>
                </c:pt>
                <c:pt idx="1">
                  <c:v>3.595682</c:v>
                </c:pt>
                <c:pt idx="2">
                  <c:v>3.7452570000000001</c:v>
                </c:pt>
                <c:pt idx="3">
                  <c:v>3.989916</c:v>
                </c:pt>
                <c:pt idx="4">
                  <c:v>4.2623340000000001</c:v>
                </c:pt>
                <c:pt idx="5">
                  <c:v>4.4411389999999997</c:v>
                </c:pt>
                <c:pt idx="6">
                  <c:v>4.7339079999999996</c:v>
                </c:pt>
                <c:pt idx="7">
                  <c:v>4.8271470000000001</c:v>
                </c:pt>
              </c:numCache>
            </c:numRef>
          </c:val>
          <c:extLst xmlns:c15="http://schemas.microsoft.com/office/drawing/2012/chart">
            <c:ext xmlns:c16="http://schemas.microsoft.com/office/drawing/2014/chart" uri="{C3380CC4-5D6E-409C-BE32-E72D297353CC}">
              <c16:uniqueId val="{00000000-052C-42D1-96CC-5A57A267B378}"/>
            </c:ext>
          </c:extLst>
        </c:ser>
        <c:ser>
          <c:idx val="2"/>
          <c:order val="1"/>
          <c:tx>
            <c:strRef>
              <c:f>'Graphique 1'!$B$27</c:f>
              <c:strCache>
                <c:ptCount val="1"/>
                <c:pt idx="0">
                  <c:v>Nombre d'entreprises à l'IS </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'Graphique 1'!$C$26:$J$26</c:f>
              <c:numCache>
                <c:formatCode>0</c:formatCode>
                <c:ptCount val="8"/>
                <c:pt idx="0">
                  <c:v>2018</c:v>
                </c:pt>
                <c:pt idx="1">
                  <c:v>2019</c:v>
                </c:pt>
                <c:pt idx="2">
                  <c:v>2020</c:v>
                </c:pt>
                <c:pt idx="3">
                  <c:v>2021</c:v>
                </c:pt>
                <c:pt idx="4">
                  <c:v>2022</c:v>
                </c:pt>
                <c:pt idx="5">
                  <c:v>2023</c:v>
                </c:pt>
                <c:pt idx="6">
                  <c:v>2024</c:v>
                </c:pt>
                <c:pt idx="7">
                  <c:v>2025</c:v>
                </c:pt>
              </c:numCache>
            </c:numRef>
          </c:cat>
          <c:val>
            <c:numRef>
              <c:f>'Graphique 1'!$C$27:$J$27</c:f>
              <c:numCache>
                <c:formatCode>0.0</c:formatCode>
                <c:ptCount val="8"/>
                <c:pt idx="0">
                  <c:v>1.8975219999999999</c:v>
                </c:pt>
                <c:pt idx="1">
                  <c:v>2.002659</c:v>
                </c:pt>
                <c:pt idx="2">
                  <c:v>2.136933</c:v>
                </c:pt>
                <c:pt idx="3">
                  <c:v>2.2857750000000001</c:v>
                </c:pt>
                <c:pt idx="4">
                  <c:v>2.4389159999999999</c:v>
                </c:pt>
                <c:pt idx="5">
                  <c:v>2.5882170000000002</c:v>
                </c:pt>
                <c:pt idx="6">
                  <c:v>2.707824</c:v>
                </c:pt>
                <c:pt idx="7">
                  <c:v>2.8340329999999998</c:v>
                </c:pt>
              </c:numCache>
            </c:numRef>
          </c:val>
          <c:extLst xmlns:c15="http://schemas.microsoft.com/office/drawing/2012/chart">
            <c:ext xmlns:c16="http://schemas.microsoft.com/office/drawing/2014/chart" uri="{C3380CC4-5D6E-409C-BE32-E72D297353CC}">
              <c16:uniqueId val="{00000001-052C-42D1-96CC-5A57A267B378}"/>
            </c:ext>
          </c:extLst>
        </c:ser>
        <c:dLbls>
          <c:dLblPos val="ctr"/>
          <c:showLegendKey val="0"/>
          <c:showVal val="1"/>
          <c:showCatName val="0"/>
          <c:showSerName val="0"/>
          <c:showPercent val="0"/>
          <c:showBubbleSize val="0"/>
        </c:dLbls>
        <c:gapWidth val="80"/>
        <c:overlap val="100"/>
        <c:axId val="763856975"/>
        <c:axId val="763857391"/>
        <c:extLst/>
      </c:barChart>
      <c:dateAx>
        <c:axId val="763856975"/>
        <c:scaling>
          <c:orientation val="minMax"/>
        </c:scaling>
        <c:delete val="0"/>
        <c:axPos val="b"/>
        <c:numFmt formatCode="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crossAx val="763857391"/>
        <c:crosses val="autoZero"/>
        <c:auto val="0"/>
        <c:lblOffset val="100"/>
        <c:baseTimeUnit val="days"/>
        <c:majorUnit val="1"/>
      </c:dateAx>
      <c:valAx>
        <c:axId val="763857391"/>
        <c:scaling>
          <c:orientation val="minMax"/>
          <c:max val="8"/>
          <c:min val="0"/>
        </c:scaling>
        <c:delete val="0"/>
        <c:axPos val="l"/>
        <c:title>
          <c:tx>
            <c:rich>
              <a:bodyPr rot="0" spcFirstLastPara="1" vertOverflow="ellipsis" wrap="square" anchor="ctr" anchorCtr="1"/>
              <a:lstStyle/>
              <a:p>
                <a:pPr>
                  <a:defRPr sz="1600" b="1" i="0" u="none" strike="noStrike" kern="1200" baseline="0">
                    <a:solidFill>
                      <a:sysClr val="windowText" lastClr="000000"/>
                    </a:solidFill>
                    <a:latin typeface="+mn-lt"/>
                    <a:ea typeface="+mn-ea"/>
                    <a:cs typeface="+mn-cs"/>
                  </a:defRPr>
                </a:pPr>
                <a:r>
                  <a:rPr lang="fr-FR" sz="1400"/>
                  <a:t>Millions</a:t>
                </a:r>
              </a:p>
            </c:rich>
          </c:tx>
          <c:layout>
            <c:manualLayout>
              <c:xMode val="edge"/>
              <c:yMode val="edge"/>
              <c:x val="9.0343970161624538E-4"/>
              <c:y val="2.1071078461160922E-2"/>
            </c:manualLayout>
          </c:layout>
          <c:overlay val="0"/>
          <c:spPr>
            <a:noFill/>
            <a:ln>
              <a:noFill/>
            </a:ln>
            <a:effectLst/>
          </c:spPr>
          <c:txPr>
            <a:bodyPr rot="0" spcFirstLastPara="1" vertOverflow="ellipsis" wrap="square" anchor="ctr" anchorCtr="1"/>
            <a:lstStyle/>
            <a:p>
              <a:pPr>
                <a:defRPr sz="1600" b="1" i="0" u="none" strike="noStrike" kern="1200" baseline="0">
                  <a:solidFill>
                    <a:sysClr val="windowText" lastClr="000000"/>
                  </a:solidFill>
                  <a:latin typeface="+mn-lt"/>
                  <a:ea typeface="+mn-ea"/>
                  <a:cs typeface="+mn-cs"/>
                </a:defRPr>
              </a:pPr>
              <a:endParaRPr lang="fr-FR"/>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crossAx val="763856975"/>
        <c:crosses val="autoZero"/>
        <c:crossBetween val="between"/>
        <c:majorUnit val="1"/>
      </c:valAx>
      <c:spPr>
        <a:noFill/>
        <a:ln>
          <a:noFill/>
        </a:ln>
        <a:effectLst/>
      </c:spPr>
    </c:plotArea>
    <c:legend>
      <c:legendPos val="b"/>
      <c:layout>
        <c:manualLayout>
          <c:xMode val="edge"/>
          <c:yMode val="edge"/>
          <c:x val="3.9745130542892658E-2"/>
          <c:y val="0.87132122398180156"/>
          <c:w val="0.9"/>
          <c:h val="7.5267593775155808E-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sz="1600" b="1">
          <a:solidFill>
            <a:sysClr val="windowText" lastClr="000000"/>
          </a:solidFill>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274591265481407E-2"/>
          <c:y val="9.6190856654440812E-2"/>
          <c:w val="0.85590635328234299"/>
          <c:h val="0.65424832706722469"/>
        </c:manualLayout>
      </c:layout>
      <c:barChart>
        <c:barDir val="col"/>
        <c:grouping val="stacked"/>
        <c:varyColors val="0"/>
        <c:ser>
          <c:idx val="4"/>
          <c:order val="0"/>
          <c:tx>
            <c:strRef>
              <c:f>'Graphique 2'!$B$30</c:f>
              <c:strCache>
                <c:ptCount val="1"/>
                <c:pt idx="0">
                  <c:v>Déficit </c:v>
                </c:pt>
              </c:strCache>
            </c:strRef>
          </c:tx>
          <c:spPr>
            <a:solidFill>
              <a:srgbClr val="002060"/>
            </a:solidFill>
            <a:ln>
              <a:noFill/>
            </a:ln>
            <a:effectLst/>
          </c:spPr>
          <c:invertIfNegative val="0"/>
          <c:cat>
            <c:numRef>
              <c:f>'Graphique 2'!$C$24:$F$24</c:f>
              <c:numCache>
                <c:formatCode>General</c:formatCode>
                <c:ptCount val="4"/>
                <c:pt idx="0">
                  <c:v>2022</c:v>
                </c:pt>
                <c:pt idx="1">
                  <c:v>2023</c:v>
                </c:pt>
                <c:pt idx="2">
                  <c:v>2024</c:v>
                </c:pt>
                <c:pt idx="3">
                  <c:v>2025</c:v>
                </c:pt>
              </c:numCache>
            </c:numRef>
          </c:cat>
          <c:val>
            <c:numRef>
              <c:f>'Graphique 2'!$C$30:$F$30</c:f>
              <c:numCache>
                <c:formatCode>#,##0</c:formatCode>
                <c:ptCount val="4"/>
                <c:pt idx="0">
                  <c:v>-113.321809479</c:v>
                </c:pt>
                <c:pt idx="1">
                  <c:v>-101.806874067</c:v>
                </c:pt>
                <c:pt idx="2">
                  <c:v>-113.64528007600001</c:v>
                </c:pt>
                <c:pt idx="3">
                  <c:v>-111.31769330100001</c:v>
                </c:pt>
              </c:numCache>
            </c:numRef>
          </c:val>
          <c:extLst>
            <c:ext xmlns:c16="http://schemas.microsoft.com/office/drawing/2014/chart" uri="{C3380CC4-5D6E-409C-BE32-E72D297353CC}">
              <c16:uniqueId val="{00000002-EDA8-4B45-ACF7-2D2D5E719060}"/>
            </c:ext>
          </c:extLst>
        </c:ser>
        <c:ser>
          <c:idx val="2"/>
          <c:order val="1"/>
          <c:tx>
            <c:strRef>
              <c:f>'Graphique 2'!$B$28</c:f>
              <c:strCache>
                <c:ptCount val="1"/>
                <c:pt idx="0">
                  <c:v>B.I. à 27,5%</c:v>
                </c:pt>
              </c:strCache>
            </c:strRef>
          </c:tx>
          <c:spPr>
            <a:solidFill>
              <a:schemeClr val="accent1">
                <a:lumMod val="20000"/>
                <a:lumOff val="80000"/>
              </a:schemeClr>
            </a:solidFill>
          </c:spPr>
          <c:invertIfNegative val="0"/>
          <c:cat>
            <c:numRef>
              <c:f>'Graphique 2'!$C$24:$F$24</c:f>
              <c:numCache>
                <c:formatCode>General</c:formatCode>
                <c:ptCount val="4"/>
                <c:pt idx="0">
                  <c:v>2022</c:v>
                </c:pt>
                <c:pt idx="1">
                  <c:v>2023</c:v>
                </c:pt>
                <c:pt idx="2">
                  <c:v>2024</c:v>
                </c:pt>
                <c:pt idx="3">
                  <c:v>2025</c:v>
                </c:pt>
              </c:numCache>
            </c:numRef>
          </c:cat>
          <c:val>
            <c:numRef>
              <c:f>'Graphique 2'!$C$28:$F$28</c:f>
              <c:numCache>
                <c:formatCode>#,##0</c:formatCode>
                <c:ptCount val="4"/>
                <c:pt idx="0">
                  <c:v>9.6002111659999994</c:v>
                </c:pt>
                <c:pt idx="1">
                  <c:v>0</c:v>
                </c:pt>
                <c:pt idx="2">
                  <c:v>0</c:v>
                </c:pt>
                <c:pt idx="3">
                  <c:v>0</c:v>
                </c:pt>
              </c:numCache>
            </c:numRef>
          </c:val>
          <c:extLst>
            <c:ext xmlns:c16="http://schemas.microsoft.com/office/drawing/2014/chart" uri="{C3380CC4-5D6E-409C-BE32-E72D297353CC}">
              <c16:uniqueId val="{00000000-EDA8-4B45-ACF7-2D2D5E719060}"/>
            </c:ext>
          </c:extLst>
        </c:ser>
        <c:ser>
          <c:idx val="7"/>
          <c:order val="2"/>
          <c:tx>
            <c:strRef>
              <c:f>'Graphique 2'!$B$27</c:f>
              <c:strCache>
                <c:ptCount val="1"/>
                <c:pt idx="0">
                  <c:v>B.I. à 26,5%</c:v>
                </c:pt>
              </c:strCache>
            </c:strRef>
          </c:tx>
          <c:spPr>
            <a:solidFill>
              <a:schemeClr val="accent1">
                <a:lumMod val="40000"/>
                <a:lumOff val="60000"/>
              </a:schemeClr>
            </a:solidFill>
          </c:spPr>
          <c:invertIfNegative val="0"/>
          <c:cat>
            <c:numRef>
              <c:f>'Graphique 2'!$C$24:$F$24</c:f>
              <c:numCache>
                <c:formatCode>General</c:formatCode>
                <c:ptCount val="4"/>
                <c:pt idx="0">
                  <c:v>2022</c:v>
                </c:pt>
                <c:pt idx="1">
                  <c:v>2023</c:v>
                </c:pt>
                <c:pt idx="2">
                  <c:v>2024</c:v>
                </c:pt>
                <c:pt idx="3">
                  <c:v>2025</c:v>
                </c:pt>
              </c:numCache>
            </c:numRef>
          </c:cat>
          <c:val>
            <c:numRef>
              <c:f>'Graphique 2'!$C$27:$F$27</c:f>
              <c:numCache>
                <c:formatCode>#,##0</c:formatCode>
                <c:ptCount val="4"/>
                <c:pt idx="0">
                  <c:v>39.345776829999998</c:v>
                </c:pt>
                <c:pt idx="1">
                  <c:v>0</c:v>
                </c:pt>
                <c:pt idx="2">
                  <c:v>0</c:v>
                </c:pt>
                <c:pt idx="3">
                  <c:v>0</c:v>
                </c:pt>
              </c:numCache>
            </c:numRef>
          </c:val>
          <c:extLst xmlns:c15="http://schemas.microsoft.com/office/drawing/2012/chart">
            <c:ext xmlns:c16="http://schemas.microsoft.com/office/drawing/2014/chart" uri="{C3380CC4-5D6E-409C-BE32-E72D297353CC}">
              <c16:uniqueId val="{00000007-A5AF-4315-9771-F684EA1B3E52}"/>
            </c:ext>
          </c:extLst>
        </c:ser>
        <c:ser>
          <c:idx val="0"/>
          <c:order val="3"/>
          <c:tx>
            <c:strRef>
              <c:f>'Graphique 2'!$B$25</c:f>
              <c:strCache>
                <c:ptCount val="1"/>
                <c:pt idx="0">
                  <c:v>B.I. à 15% </c:v>
                </c:pt>
              </c:strCache>
            </c:strRef>
          </c:tx>
          <c:spPr>
            <a:solidFill>
              <a:schemeClr val="accent1">
                <a:lumMod val="75000"/>
              </a:schemeClr>
            </a:solidFill>
            <a:ln w="57150">
              <a:noFill/>
            </a:ln>
            <a:effectLst/>
          </c:spPr>
          <c:invertIfNegative val="0"/>
          <c:cat>
            <c:numRef>
              <c:f>'Graphique 2'!$C$24:$F$24</c:f>
              <c:numCache>
                <c:formatCode>General</c:formatCode>
                <c:ptCount val="4"/>
                <c:pt idx="0">
                  <c:v>2022</c:v>
                </c:pt>
                <c:pt idx="1">
                  <c:v>2023</c:v>
                </c:pt>
                <c:pt idx="2">
                  <c:v>2024</c:v>
                </c:pt>
                <c:pt idx="3">
                  <c:v>2025</c:v>
                </c:pt>
              </c:numCache>
            </c:numRef>
          </c:cat>
          <c:val>
            <c:numRef>
              <c:f>'Graphique 2'!$C$25:$F$25</c:f>
              <c:numCache>
                <c:formatCode>#,##0</c:formatCode>
                <c:ptCount val="4"/>
                <c:pt idx="0">
                  <c:v>26.636942294000001</c:v>
                </c:pt>
                <c:pt idx="1">
                  <c:v>28.944907658000002</c:v>
                </c:pt>
                <c:pt idx="2">
                  <c:v>30.028689332999999</c:v>
                </c:pt>
                <c:pt idx="3">
                  <c:v>30.608340826999999</c:v>
                </c:pt>
              </c:numCache>
            </c:numRef>
          </c:val>
          <c:extLst>
            <c:ext xmlns:c16="http://schemas.microsoft.com/office/drawing/2014/chart" uri="{C3380CC4-5D6E-409C-BE32-E72D297353CC}">
              <c16:uniqueId val="{00000000-A5AF-4315-9771-F684EA1B3E52}"/>
            </c:ext>
          </c:extLst>
        </c:ser>
        <c:ser>
          <c:idx val="1"/>
          <c:order val="4"/>
          <c:tx>
            <c:strRef>
              <c:f>'Graphique 2'!$B$26</c:f>
              <c:strCache>
                <c:ptCount val="1"/>
                <c:pt idx="0">
                  <c:v>B.I. à 25%</c:v>
                </c:pt>
              </c:strCache>
            </c:strRef>
          </c:tx>
          <c:spPr>
            <a:solidFill>
              <a:schemeClr val="accent1">
                <a:lumMod val="60000"/>
                <a:lumOff val="40000"/>
              </a:schemeClr>
            </a:solidFill>
            <a:ln w="38100">
              <a:noFill/>
            </a:ln>
            <a:effectLst/>
          </c:spPr>
          <c:invertIfNegative val="0"/>
          <c:cat>
            <c:numRef>
              <c:f>'Graphique 2'!$C$24:$F$24</c:f>
              <c:numCache>
                <c:formatCode>General</c:formatCode>
                <c:ptCount val="4"/>
                <c:pt idx="0">
                  <c:v>2022</c:v>
                </c:pt>
                <c:pt idx="1">
                  <c:v>2023</c:v>
                </c:pt>
                <c:pt idx="2">
                  <c:v>2024</c:v>
                </c:pt>
                <c:pt idx="3">
                  <c:v>2025</c:v>
                </c:pt>
              </c:numCache>
            </c:numRef>
          </c:cat>
          <c:val>
            <c:numRef>
              <c:f>'Graphique 2'!$C$26:$F$26</c:f>
              <c:numCache>
                <c:formatCode>#,##0</c:formatCode>
                <c:ptCount val="4"/>
                <c:pt idx="0">
                  <c:v>201.79876791500001</c:v>
                </c:pt>
                <c:pt idx="1">
                  <c:v>253.238679617</c:v>
                </c:pt>
                <c:pt idx="2">
                  <c:v>253.750100164</c:v>
                </c:pt>
                <c:pt idx="3">
                  <c:v>256.80011386400002</c:v>
                </c:pt>
              </c:numCache>
            </c:numRef>
          </c:val>
          <c:extLst>
            <c:ext xmlns:c16="http://schemas.microsoft.com/office/drawing/2014/chart" uri="{C3380CC4-5D6E-409C-BE32-E72D297353CC}">
              <c16:uniqueId val="{00000001-A5AF-4315-9771-F684EA1B3E52}"/>
            </c:ext>
          </c:extLst>
        </c:ser>
        <c:ser>
          <c:idx val="3"/>
          <c:order val="5"/>
          <c:tx>
            <c:strRef>
              <c:f>'Graphique 2'!$B$29</c:f>
              <c:strCache>
                <c:ptCount val="1"/>
                <c:pt idx="0">
                  <c:v>Assiette CEGBE</c:v>
                </c:pt>
              </c:strCache>
            </c:strRef>
          </c:tx>
          <c:spPr>
            <a:solidFill>
              <a:srgbClr val="FF8D7E"/>
            </a:solidFill>
            <a:ln w="28575" cap="rnd">
              <a:noFill/>
              <a:round/>
            </a:ln>
            <a:effectLst/>
          </c:spPr>
          <c:invertIfNegative val="0"/>
          <c:cat>
            <c:numRef>
              <c:f>'Graphique 2'!$C$24:$F$24</c:f>
              <c:numCache>
                <c:formatCode>General</c:formatCode>
                <c:ptCount val="4"/>
                <c:pt idx="0">
                  <c:v>2022</c:v>
                </c:pt>
                <c:pt idx="1">
                  <c:v>2023</c:v>
                </c:pt>
                <c:pt idx="2">
                  <c:v>2024</c:v>
                </c:pt>
                <c:pt idx="3">
                  <c:v>2025</c:v>
                </c:pt>
              </c:numCache>
            </c:numRef>
          </c:cat>
          <c:val>
            <c:numRef>
              <c:f>'Graphique 2'!$C$29:$F$29</c:f>
              <c:numCache>
                <c:formatCode>General</c:formatCode>
                <c:ptCount val="4"/>
                <c:pt idx="0">
                  <c:v>0</c:v>
                </c:pt>
                <c:pt idx="1">
                  <c:v>0</c:v>
                </c:pt>
                <c:pt idx="2">
                  <c:v>0</c:v>
                </c:pt>
                <c:pt idx="3" formatCode="0.0">
                  <c:v>20.399999999999999</c:v>
                </c:pt>
              </c:numCache>
            </c:numRef>
          </c:val>
          <c:extLst>
            <c:ext xmlns:c16="http://schemas.microsoft.com/office/drawing/2014/chart" uri="{C3380CC4-5D6E-409C-BE32-E72D297353CC}">
              <c16:uniqueId val="{00000001-EDA8-4B45-ACF7-2D2D5E719060}"/>
            </c:ext>
          </c:extLst>
        </c:ser>
        <c:dLbls>
          <c:showLegendKey val="0"/>
          <c:showVal val="0"/>
          <c:showCatName val="0"/>
          <c:showSerName val="0"/>
          <c:showPercent val="0"/>
          <c:showBubbleSize val="0"/>
        </c:dLbls>
        <c:gapWidth val="99"/>
        <c:overlap val="100"/>
        <c:axId val="1007317439"/>
        <c:axId val="1007318687"/>
      </c:barChart>
      <c:lineChart>
        <c:grouping val="standard"/>
        <c:varyColors val="0"/>
        <c:ser>
          <c:idx val="5"/>
          <c:order val="6"/>
          <c:tx>
            <c:strRef>
              <c:f>'Graphique 2'!$B$31</c:f>
              <c:strCache>
                <c:ptCount val="1"/>
                <c:pt idx="0">
                  <c:v>Nombre d'entreprises bénéficiaires (axe de droite)</c:v>
                </c:pt>
              </c:strCache>
            </c:strRef>
          </c:tx>
          <c:spPr>
            <a:ln w="28575" cap="rnd">
              <a:solidFill>
                <a:srgbClr val="FDCF41"/>
              </a:solidFill>
              <a:round/>
            </a:ln>
            <a:effectLst/>
          </c:spPr>
          <c:marker>
            <c:spPr>
              <a:solidFill>
                <a:srgbClr val="FDCF41"/>
              </a:solidFill>
              <a:ln>
                <a:solidFill>
                  <a:srgbClr val="FDCF41"/>
                </a:solidFill>
              </a:ln>
            </c:spPr>
          </c:marker>
          <c:cat>
            <c:numRef>
              <c:f>'Graphique 2'!$C$24:$F$24</c:f>
              <c:numCache>
                <c:formatCode>General</c:formatCode>
                <c:ptCount val="4"/>
                <c:pt idx="0">
                  <c:v>2022</c:v>
                </c:pt>
                <c:pt idx="1">
                  <c:v>2023</c:v>
                </c:pt>
                <c:pt idx="2">
                  <c:v>2024</c:v>
                </c:pt>
                <c:pt idx="3">
                  <c:v>2025</c:v>
                </c:pt>
              </c:numCache>
            </c:numRef>
          </c:cat>
          <c:val>
            <c:numRef>
              <c:f>'Graphique 2'!$C$31:$F$31</c:f>
              <c:numCache>
                <c:formatCode>#,##0</c:formatCode>
                <c:ptCount val="4"/>
                <c:pt idx="0">
                  <c:v>1566.116</c:v>
                </c:pt>
                <c:pt idx="1">
                  <c:v>1676.2</c:v>
                </c:pt>
                <c:pt idx="2">
                  <c:v>1731.12</c:v>
                </c:pt>
                <c:pt idx="3">
                  <c:v>1788.0306435537</c:v>
                </c:pt>
              </c:numCache>
            </c:numRef>
          </c:val>
          <c:smooth val="0"/>
          <c:extLst>
            <c:ext xmlns:c16="http://schemas.microsoft.com/office/drawing/2014/chart" uri="{C3380CC4-5D6E-409C-BE32-E72D297353CC}">
              <c16:uniqueId val="{00000000-E741-446D-A289-AED01671E07C}"/>
            </c:ext>
          </c:extLst>
        </c:ser>
        <c:ser>
          <c:idx val="6"/>
          <c:order val="7"/>
          <c:tx>
            <c:strRef>
              <c:f>'Graphique 2'!$B$32</c:f>
              <c:strCache>
                <c:ptCount val="1"/>
                <c:pt idx="0">
                  <c:v>Nombre d'entreprises déficitaires (axe de droite)</c:v>
                </c:pt>
              </c:strCache>
            </c:strRef>
          </c:tx>
          <c:spPr>
            <a:ln w="28575" cap="rnd">
              <a:solidFill>
                <a:schemeClr val="bg1">
                  <a:lumMod val="75000"/>
                </a:schemeClr>
              </a:solidFill>
              <a:round/>
            </a:ln>
            <a:effectLst/>
          </c:spPr>
          <c:marker>
            <c:spPr>
              <a:solidFill>
                <a:schemeClr val="bg1">
                  <a:lumMod val="75000"/>
                </a:schemeClr>
              </a:solidFill>
              <a:ln>
                <a:solidFill>
                  <a:schemeClr val="bg1">
                    <a:lumMod val="75000"/>
                  </a:schemeClr>
                </a:solidFill>
              </a:ln>
            </c:spPr>
          </c:marker>
          <c:cat>
            <c:numRef>
              <c:f>'Graphique 2'!$C$24:$F$24</c:f>
              <c:numCache>
                <c:formatCode>General</c:formatCode>
                <c:ptCount val="4"/>
                <c:pt idx="0">
                  <c:v>2022</c:v>
                </c:pt>
                <c:pt idx="1">
                  <c:v>2023</c:v>
                </c:pt>
                <c:pt idx="2">
                  <c:v>2024</c:v>
                </c:pt>
                <c:pt idx="3">
                  <c:v>2025</c:v>
                </c:pt>
              </c:numCache>
            </c:numRef>
          </c:cat>
          <c:val>
            <c:numRef>
              <c:f>'Graphique 2'!$C$32:$F$32</c:f>
              <c:numCache>
                <c:formatCode>#,##0</c:formatCode>
                <c:ptCount val="4"/>
                <c:pt idx="0">
                  <c:v>872.78399999999999</c:v>
                </c:pt>
                <c:pt idx="1">
                  <c:v>912</c:v>
                </c:pt>
                <c:pt idx="2">
                  <c:v>976.70399999999995</c:v>
                </c:pt>
                <c:pt idx="3">
                  <c:v>1046.00215888506</c:v>
                </c:pt>
              </c:numCache>
            </c:numRef>
          </c:val>
          <c:smooth val="0"/>
          <c:extLst>
            <c:ext xmlns:c16="http://schemas.microsoft.com/office/drawing/2014/chart" uri="{C3380CC4-5D6E-409C-BE32-E72D297353CC}">
              <c16:uniqueId val="{00000001-E741-446D-A289-AED01671E07C}"/>
            </c:ext>
          </c:extLst>
        </c:ser>
        <c:dLbls>
          <c:showLegendKey val="0"/>
          <c:showVal val="0"/>
          <c:showCatName val="0"/>
          <c:showSerName val="0"/>
          <c:showPercent val="0"/>
          <c:showBubbleSize val="0"/>
        </c:dLbls>
        <c:marker val="1"/>
        <c:smooth val="0"/>
        <c:axId val="1496058271"/>
        <c:axId val="1496057791"/>
      </c:lineChart>
      <c:catAx>
        <c:axId val="1007317439"/>
        <c:scaling>
          <c:orientation val="minMax"/>
        </c:scaling>
        <c:delete val="0"/>
        <c:axPos val="b"/>
        <c:numFmt formatCode="General" sourceLinked="1"/>
        <c:majorTickMark val="out"/>
        <c:minorTickMark val="out"/>
        <c:tickLblPos val="high"/>
        <c:spPr>
          <a:noFill/>
          <a:ln w="9525"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crossAx val="1007318687"/>
        <c:crosses val="autoZero"/>
        <c:auto val="1"/>
        <c:lblAlgn val="ctr"/>
        <c:lblOffset val="100"/>
        <c:noMultiLvlLbl val="0"/>
      </c:catAx>
      <c:valAx>
        <c:axId val="1007318687"/>
        <c:scaling>
          <c:orientation val="minMax"/>
          <c:max val="350"/>
          <c:min val="-150"/>
        </c:scaling>
        <c:delete val="0"/>
        <c:axPos val="l"/>
        <c:title>
          <c:tx>
            <c:rich>
              <a:bodyPr rot="0" spcFirstLastPara="1" vertOverflow="ellipsis" wrap="square" anchor="ctr" anchorCtr="1"/>
              <a:lstStyle/>
              <a:p>
                <a:pPr>
                  <a:defRPr sz="1600" b="1" i="0" u="none" strike="noStrike" kern="1200" baseline="0">
                    <a:solidFill>
                      <a:sysClr val="windowText" lastClr="000000"/>
                    </a:solidFill>
                    <a:latin typeface="+mn-lt"/>
                    <a:ea typeface="+mn-ea"/>
                    <a:cs typeface="+mn-cs"/>
                  </a:defRPr>
                </a:pPr>
                <a:r>
                  <a:rPr lang="fr-FR" sz="1600"/>
                  <a:t>Md€</a:t>
                </a:r>
              </a:p>
            </c:rich>
          </c:tx>
          <c:layout>
            <c:manualLayout>
              <c:xMode val="edge"/>
              <c:yMode val="edge"/>
              <c:x val="1.0210206791076353E-2"/>
              <c:y val="1.021872265966755E-3"/>
            </c:manualLayout>
          </c:layout>
          <c:overlay val="0"/>
          <c:spPr>
            <a:noFill/>
            <a:ln>
              <a:noFill/>
            </a:ln>
            <a:effectLst/>
          </c:sp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crossAx val="1007317439"/>
        <c:crosses val="autoZero"/>
        <c:crossBetween val="between"/>
        <c:majorUnit val="40"/>
        <c:minorUnit val="5"/>
      </c:valAx>
      <c:valAx>
        <c:axId val="1496057791"/>
        <c:scaling>
          <c:orientation val="minMax"/>
          <c:max val="2100"/>
          <c:min val="-900"/>
        </c:scaling>
        <c:delete val="0"/>
        <c:axPos val="r"/>
        <c:title>
          <c:tx>
            <c:rich>
              <a:bodyPr rot="0" vert="horz"/>
              <a:lstStyle/>
              <a:p>
                <a:pPr>
                  <a:defRPr sz="1400"/>
                </a:pPr>
                <a:r>
                  <a:rPr lang="fr-FR" sz="1400"/>
                  <a:t>Milliers</a:t>
                </a:r>
              </a:p>
            </c:rich>
          </c:tx>
          <c:layout>
            <c:manualLayout>
              <c:xMode val="edge"/>
              <c:yMode val="edge"/>
              <c:x val="0.9165006611489438"/>
              <c:y val="5.155288791258655E-3"/>
            </c:manualLayout>
          </c:layout>
          <c:overlay val="0"/>
        </c:title>
        <c:numFmt formatCode="#,##0" sourceLinked="1"/>
        <c:majorTickMark val="out"/>
        <c:minorTickMark val="none"/>
        <c:tickLblPos val="nextTo"/>
        <c:crossAx val="1496058271"/>
        <c:crosses val="max"/>
        <c:crossBetween val="between"/>
        <c:majorUnit val="300"/>
      </c:valAx>
      <c:catAx>
        <c:axId val="1496058271"/>
        <c:scaling>
          <c:orientation val="minMax"/>
        </c:scaling>
        <c:delete val="1"/>
        <c:axPos val="b"/>
        <c:numFmt formatCode="General" sourceLinked="1"/>
        <c:majorTickMark val="out"/>
        <c:minorTickMark val="none"/>
        <c:tickLblPos val="nextTo"/>
        <c:crossAx val="1496057791"/>
        <c:crosses val="autoZero"/>
        <c:auto val="1"/>
        <c:lblAlgn val="ctr"/>
        <c:lblOffset val="100"/>
        <c:noMultiLvlLbl val="0"/>
      </c:catAx>
      <c:spPr>
        <a:noFill/>
        <a:ln>
          <a:noFill/>
        </a:ln>
        <a:effectLst/>
      </c:spPr>
    </c:plotArea>
    <c:legend>
      <c:legendPos val="t"/>
      <c:layout>
        <c:manualLayout>
          <c:xMode val="edge"/>
          <c:yMode val="edge"/>
          <c:x val="3.2919395784189905E-2"/>
          <c:y val="0.78061558611656856"/>
          <c:w val="0.96646269348038472"/>
          <c:h val="0.21002531854441572"/>
        </c:manualLayout>
      </c:layout>
      <c:overlay val="0"/>
      <c:txPr>
        <a:bodyPr rot="0" vert="horz"/>
        <a:lstStyle/>
        <a:p>
          <a:pPr>
            <a:defRPr sz="1100"/>
          </a:pPr>
          <a:endParaRPr lang="fr-FR"/>
        </a:p>
      </c:txPr>
    </c:legend>
    <c:plotVisOnly val="1"/>
    <c:dispBlanksAs val="gap"/>
    <c:showDLblsOverMax val="0"/>
  </c:chart>
  <c:spPr>
    <a:solidFill>
      <a:schemeClr val="bg1"/>
    </a:solidFill>
    <a:ln w="9525" cap="flat" cmpd="sng" algn="ctr">
      <a:noFill/>
      <a:round/>
    </a:ln>
    <a:effectLst/>
  </c:spPr>
  <c:txPr>
    <a:bodyPr/>
    <a:lstStyle/>
    <a:p>
      <a:pPr>
        <a:defRPr sz="1600" b="1">
          <a:solidFill>
            <a:sysClr val="windowText" lastClr="000000"/>
          </a:solidFill>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fr-FR" sz="2000"/>
              <a:t>Nombre d'entreprises</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6.548684279794538E-2"/>
          <c:y val="9.6215565646886728E-2"/>
          <c:w val="0.89778325902033318"/>
          <c:h val="0.73894096571261925"/>
        </c:manualLayout>
      </c:layout>
      <c:barChart>
        <c:barDir val="col"/>
        <c:grouping val="stacked"/>
        <c:varyColors val="0"/>
        <c:ser>
          <c:idx val="3"/>
          <c:order val="0"/>
          <c:tx>
            <c:strRef>
              <c:f>'Graphique 3'!$B$27</c:f>
              <c:strCache>
                <c:ptCount val="1"/>
                <c:pt idx="0">
                  <c:v>BIC régime réel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'Graphique 3'!$C$26:$J$26</c:f>
              <c:numCache>
                <c:formatCode>General</c:formatCode>
                <c:ptCount val="8"/>
                <c:pt idx="0">
                  <c:v>2018</c:v>
                </c:pt>
                <c:pt idx="1">
                  <c:v>2019</c:v>
                </c:pt>
                <c:pt idx="2">
                  <c:v>2020</c:v>
                </c:pt>
                <c:pt idx="3">
                  <c:v>2021</c:v>
                </c:pt>
                <c:pt idx="4">
                  <c:v>2022</c:v>
                </c:pt>
                <c:pt idx="5">
                  <c:v>2023</c:v>
                </c:pt>
                <c:pt idx="6">
                  <c:v>2024</c:v>
                </c:pt>
                <c:pt idx="7">
                  <c:v>2025</c:v>
                </c:pt>
              </c:numCache>
            </c:numRef>
          </c:cat>
          <c:val>
            <c:numRef>
              <c:f>'Graphique 3'!$C$27:$J$27</c:f>
              <c:numCache>
                <c:formatCode>0.00</c:formatCode>
                <c:ptCount val="8"/>
                <c:pt idx="0">
                  <c:v>0.82667000000000002</c:v>
                </c:pt>
                <c:pt idx="1">
                  <c:v>0.84961100000000001</c:v>
                </c:pt>
                <c:pt idx="2">
                  <c:v>0.88536000000000004</c:v>
                </c:pt>
                <c:pt idx="3">
                  <c:v>0.941944</c:v>
                </c:pt>
                <c:pt idx="4">
                  <c:v>1.009911</c:v>
                </c:pt>
                <c:pt idx="5">
                  <c:v>1.0773919999999999</c:v>
                </c:pt>
                <c:pt idx="6">
                  <c:v>1.142633</c:v>
                </c:pt>
                <c:pt idx="7">
                  <c:v>1.212979</c:v>
                </c:pt>
              </c:numCache>
            </c:numRef>
          </c:val>
          <c:extLst>
            <c:ext xmlns:c16="http://schemas.microsoft.com/office/drawing/2014/chart" uri="{C3380CC4-5D6E-409C-BE32-E72D297353CC}">
              <c16:uniqueId val="{00000000-60AE-4B92-B44C-8B1B7AADA979}"/>
            </c:ext>
          </c:extLst>
        </c:ser>
        <c:ser>
          <c:idx val="0"/>
          <c:order val="1"/>
          <c:tx>
            <c:strRef>
              <c:f>'Graphique 3'!$B$28</c:f>
              <c:strCache>
                <c:ptCount val="1"/>
                <c:pt idx="0">
                  <c:v>BNC régime réel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'Graphique 3'!$C$26:$J$26</c:f>
              <c:numCache>
                <c:formatCode>General</c:formatCode>
                <c:ptCount val="8"/>
                <c:pt idx="0">
                  <c:v>2018</c:v>
                </c:pt>
                <c:pt idx="1">
                  <c:v>2019</c:v>
                </c:pt>
                <c:pt idx="2">
                  <c:v>2020</c:v>
                </c:pt>
                <c:pt idx="3">
                  <c:v>2021</c:v>
                </c:pt>
                <c:pt idx="4">
                  <c:v>2022</c:v>
                </c:pt>
                <c:pt idx="5">
                  <c:v>2023</c:v>
                </c:pt>
                <c:pt idx="6">
                  <c:v>2024</c:v>
                </c:pt>
                <c:pt idx="7">
                  <c:v>2025</c:v>
                </c:pt>
              </c:numCache>
            </c:numRef>
          </c:cat>
          <c:val>
            <c:numRef>
              <c:f>'Graphique 3'!$C$28:$J$28</c:f>
              <c:numCache>
                <c:formatCode>0.00</c:formatCode>
                <c:ptCount val="8"/>
                <c:pt idx="0">
                  <c:v>0.58567800000000003</c:v>
                </c:pt>
                <c:pt idx="1">
                  <c:v>0.57804299999999997</c:v>
                </c:pt>
                <c:pt idx="2">
                  <c:v>0.57296999999999998</c:v>
                </c:pt>
                <c:pt idx="3">
                  <c:v>0.57526200000000005</c:v>
                </c:pt>
                <c:pt idx="4">
                  <c:v>0.57512799999999997</c:v>
                </c:pt>
                <c:pt idx="5">
                  <c:v>0.57895399999999997</c:v>
                </c:pt>
                <c:pt idx="6">
                  <c:v>0.65158300000000002</c:v>
                </c:pt>
                <c:pt idx="7">
                  <c:v>0.66956800000000005</c:v>
                </c:pt>
              </c:numCache>
            </c:numRef>
          </c:val>
          <c:extLst>
            <c:ext xmlns:c16="http://schemas.microsoft.com/office/drawing/2014/chart" uri="{C3380CC4-5D6E-409C-BE32-E72D297353CC}">
              <c16:uniqueId val="{00000001-60AE-4B92-B44C-8B1B7AADA979}"/>
            </c:ext>
          </c:extLst>
        </c:ser>
        <c:ser>
          <c:idx val="4"/>
          <c:order val="2"/>
          <c:tx>
            <c:strRef>
              <c:f>'Graphique 3'!$B$29</c:f>
              <c:strCache>
                <c:ptCount val="1"/>
                <c:pt idx="0">
                  <c:v>BA régime réel</c:v>
                </c:pt>
              </c:strCache>
            </c:strRef>
          </c:tx>
          <c:spPr>
            <a:solidFill>
              <a:srgbClr val="92D050"/>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'Graphique 3'!$C$26:$J$26</c:f>
              <c:numCache>
                <c:formatCode>General</c:formatCode>
                <c:ptCount val="8"/>
                <c:pt idx="0">
                  <c:v>2018</c:v>
                </c:pt>
                <c:pt idx="1">
                  <c:v>2019</c:v>
                </c:pt>
                <c:pt idx="2">
                  <c:v>2020</c:v>
                </c:pt>
                <c:pt idx="3">
                  <c:v>2021</c:v>
                </c:pt>
                <c:pt idx="4">
                  <c:v>2022</c:v>
                </c:pt>
                <c:pt idx="5">
                  <c:v>2023</c:v>
                </c:pt>
                <c:pt idx="6">
                  <c:v>2024</c:v>
                </c:pt>
                <c:pt idx="7">
                  <c:v>2025</c:v>
                </c:pt>
              </c:numCache>
            </c:numRef>
          </c:cat>
          <c:val>
            <c:numRef>
              <c:f>'Graphique 3'!$C$29:$J$29</c:f>
              <c:numCache>
                <c:formatCode>0.00</c:formatCode>
                <c:ptCount val="8"/>
                <c:pt idx="0">
                  <c:v>0.26502999999999999</c:v>
                </c:pt>
                <c:pt idx="1">
                  <c:v>0.26086999999999999</c:v>
                </c:pt>
                <c:pt idx="2">
                  <c:v>0.25620999999999999</c:v>
                </c:pt>
                <c:pt idx="3">
                  <c:v>0.251967</c:v>
                </c:pt>
                <c:pt idx="4">
                  <c:v>0.248362</c:v>
                </c:pt>
                <c:pt idx="5">
                  <c:v>0.24302199999999999</c:v>
                </c:pt>
                <c:pt idx="6">
                  <c:v>0.23534099999999999</c:v>
                </c:pt>
                <c:pt idx="7">
                  <c:v>0.2266</c:v>
                </c:pt>
              </c:numCache>
            </c:numRef>
          </c:val>
          <c:extLst>
            <c:ext xmlns:c16="http://schemas.microsoft.com/office/drawing/2014/chart" uri="{C3380CC4-5D6E-409C-BE32-E72D297353CC}">
              <c16:uniqueId val="{00000002-60AE-4B92-B44C-8B1B7AADA979}"/>
            </c:ext>
          </c:extLst>
        </c:ser>
        <c:ser>
          <c:idx val="5"/>
          <c:order val="3"/>
          <c:tx>
            <c:strRef>
              <c:f>'Graphique 3'!$B$30</c:f>
              <c:strCache>
                <c:ptCount val="1"/>
                <c:pt idx="0">
                  <c:v>Régime "micro" </c:v>
                </c:pt>
              </c:strCache>
            </c:strRef>
          </c:tx>
          <c:spPr>
            <a:solidFill>
              <a:schemeClr val="bg2">
                <a:lumMod val="75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'Graphique 3'!$C$26:$J$26</c:f>
              <c:numCache>
                <c:formatCode>General</c:formatCode>
                <c:ptCount val="8"/>
                <c:pt idx="0">
                  <c:v>2018</c:v>
                </c:pt>
                <c:pt idx="1">
                  <c:v>2019</c:v>
                </c:pt>
                <c:pt idx="2">
                  <c:v>2020</c:v>
                </c:pt>
                <c:pt idx="3">
                  <c:v>2021</c:v>
                </c:pt>
                <c:pt idx="4">
                  <c:v>2022</c:v>
                </c:pt>
                <c:pt idx="5">
                  <c:v>2023</c:v>
                </c:pt>
                <c:pt idx="6">
                  <c:v>2024</c:v>
                </c:pt>
                <c:pt idx="7">
                  <c:v>2025</c:v>
                </c:pt>
              </c:numCache>
            </c:numRef>
          </c:cat>
          <c:val>
            <c:numRef>
              <c:f>'Graphique 3'!$C$30:$J$30</c:f>
              <c:numCache>
                <c:formatCode>0.00</c:formatCode>
                <c:ptCount val="8"/>
                <c:pt idx="0">
                  <c:v>1.7094259999999999</c:v>
                </c:pt>
                <c:pt idx="1">
                  <c:v>1.9071579999999999</c:v>
                </c:pt>
                <c:pt idx="2">
                  <c:v>2.0311020000000002</c:v>
                </c:pt>
                <c:pt idx="3">
                  <c:v>2.2111429999999999</c:v>
                </c:pt>
                <c:pt idx="4">
                  <c:v>2.4199329999999999</c:v>
                </c:pt>
                <c:pt idx="5">
                  <c:v>2.5392709999999994</c:v>
                </c:pt>
                <c:pt idx="6">
                  <c:v>2.7043509999999999</c:v>
                </c:pt>
                <c:pt idx="7">
                  <c:v>2.718</c:v>
                </c:pt>
              </c:numCache>
            </c:numRef>
          </c:val>
          <c:extLst>
            <c:ext xmlns:c16="http://schemas.microsoft.com/office/drawing/2014/chart" uri="{C3380CC4-5D6E-409C-BE32-E72D297353CC}">
              <c16:uniqueId val="{00000003-60AE-4B92-B44C-8B1B7AADA979}"/>
            </c:ext>
          </c:extLst>
        </c:ser>
        <c:dLbls>
          <c:dLblPos val="ctr"/>
          <c:showLegendKey val="0"/>
          <c:showVal val="1"/>
          <c:showCatName val="0"/>
          <c:showSerName val="0"/>
          <c:showPercent val="0"/>
          <c:showBubbleSize val="0"/>
        </c:dLbls>
        <c:gapWidth val="90"/>
        <c:overlap val="100"/>
        <c:axId val="763800847"/>
        <c:axId val="763802095"/>
      </c:barChart>
      <c:catAx>
        <c:axId val="7638008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crossAx val="763802095"/>
        <c:crosses val="autoZero"/>
        <c:auto val="1"/>
        <c:lblAlgn val="ctr"/>
        <c:lblOffset val="100"/>
        <c:noMultiLvlLbl val="0"/>
      </c:catAx>
      <c:valAx>
        <c:axId val="763802095"/>
        <c:scaling>
          <c:orientation val="minMax"/>
          <c:max val="5"/>
          <c:min val="0"/>
        </c:scaling>
        <c:delete val="0"/>
        <c:axPos val="l"/>
        <c:majorGridlines>
          <c:spPr>
            <a:ln w="9525" cap="flat" cmpd="sng" algn="ctr">
              <a:noFill/>
              <a:round/>
            </a:ln>
            <a:effectLst/>
          </c:spPr>
        </c:majorGridlines>
        <c:title>
          <c:tx>
            <c:rich>
              <a:bodyPr rot="0" spcFirstLastPara="1" vertOverflow="ellipsis" wrap="square" anchor="ctr" anchorCtr="1"/>
              <a:lstStyle/>
              <a:p>
                <a:pPr algn="l">
                  <a:defRPr sz="1800" b="1" i="0" u="none" strike="noStrike" kern="1200" baseline="0">
                    <a:solidFill>
                      <a:sysClr val="windowText" lastClr="000000"/>
                    </a:solidFill>
                    <a:latin typeface="+mn-lt"/>
                    <a:ea typeface="+mn-ea"/>
                    <a:cs typeface="+mn-cs"/>
                  </a:defRPr>
                </a:pPr>
                <a:r>
                  <a:rPr lang="en-US" sz="1800"/>
                  <a:t>Millions</a:t>
                </a:r>
              </a:p>
            </c:rich>
          </c:tx>
          <c:layout>
            <c:manualLayout>
              <c:xMode val="edge"/>
              <c:yMode val="edge"/>
              <c:x val="1.4100647250756835E-3"/>
              <c:y val="1.3814435516849083E-3"/>
            </c:manualLayout>
          </c:layout>
          <c:overlay val="0"/>
          <c:spPr>
            <a:noFill/>
            <a:ln>
              <a:noFill/>
            </a:ln>
            <a:effectLst/>
          </c:spPr>
          <c:txPr>
            <a:bodyPr rot="0" spcFirstLastPara="1" vertOverflow="ellipsis" wrap="square" anchor="ctr" anchorCtr="1"/>
            <a:lstStyle/>
            <a:p>
              <a:pPr algn="l">
                <a:defRPr sz="1800" b="1" i="0" u="none" strike="noStrike" kern="1200" baseline="0">
                  <a:solidFill>
                    <a:sysClr val="windowText" lastClr="000000"/>
                  </a:solidFill>
                  <a:latin typeface="+mn-lt"/>
                  <a:ea typeface="+mn-ea"/>
                  <a:cs typeface="+mn-cs"/>
                </a:defRPr>
              </a:pPr>
              <a:endParaRPr lang="fr-FR"/>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crossAx val="763800847"/>
        <c:crosses val="autoZero"/>
        <c:crossBetween val="between"/>
        <c:majorUnit val="1"/>
      </c:valAx>
      <c:spPr>
        <a:noFill/>
        <a:ln>
          <a:noFill/>
        </a:ln>
        <a:effectLst/>
      </c:spPr>
    </c:plotArea>
    <c:legend>
      <c:legendPos val="r"/>
      <c:layout>
        <c:manualLayout>
          <c:xMode val="edge"/>
          <c:yMode val="edge"/>
          <c:x val="5.257393209200438E-2"/>
          <c:y val="0.89407731440977289"/>
          <c:w val="0.90698599695848525"/>
          <c:h val="9.9358849709003771E-2"/>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sz="2000" b="1">
          <a:solidFill>
            <a:sysClr val="windowText" lastClr="000000"/>
          </a:solidFill>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fr-FR" sz="2000"/>
              <a:t>Résultat des entreprises</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5.1677826807897571E-2"/>
          <c:y val="9.1312335958005267E-2"/>
          <c:w val="0.92834047642778839"/>
          <c:h val="0.75351631577967648"/>
        </c:manualLayout>
      </c:layout>
      <c:barChart>
        <c:barDir val="col"/>
        <c:grouping val="stacked"/>
        <c:varyColors val="0"/>
        <c:ser>
          <c:idx val="3"/>
          <c:order val="0"/>
          <c:tx>
            <c:strRef>
              <c:f>'Graphique 3'!$B$33</c:f>
              <c:strCache>
                <c:ptCount val="1"/>
                <c:pt idx="0">
                  <c:v>BIC régime réel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'Graphique 3'!$C$32:$J$32</c:f>
              <c:numCache>
                <c:formatCode>General</c:formatCode>
                <c:ptCount val="8"/>
                <c:pt idx="0">
                  <c:v>2018</c:v>
                </c:pt>
                <c:pt idx="1">
                  <c:v>2019</c:v>
                </c:pt>
                <c:pt idx="2">
                  <c:v>2020</c:v>
                </c:pt>
                <c:pt idx="3">
                  <c:v>2021</c:v>
                </c:pt>
                <c:pt idx="4">
                  <c:v>2022</c:v>
                </c:pt>
                <c:pt idx="5">
                  <c:v>2023</c:v>
                </c:pt>
                <c:pt idx="6">
                  <c:v>2024</c:v>
                </c:pt>
                <c:pt idx="7">
                  <c:v>2025</c:v>
                </c:pt>
              </c:numCache>
            </c:numRef>
          </c:cat>
          <c:val>
            <c:numRef>
              <c:f>'Graphique 3'!$C$33:$J$33</c:f>
              <c:numCache>
                <c:formatCode>0.0</c:formatCode>
                <c:ptCount val="8"/>
                <c:pt idx="0">
                  <c:v>20.023164137999999</c:v>
                </c:pt>
                <c:pt idx="1">
                  <c:v>20.057072293000001</c:v>
                </c:pt>
                <c:pt idx="2">
                  <c:v>16.299723160999999</c:v>
                </c:pt>
                <c:pt idx="3">
                  <c:v>16.977599523999999</c:v>
                </c:pt>
                <c:pt idx="4">
                  <c:v>18.707807312</c:v>
                </c:pt>
                <c:pt idx="5">
                  <c:v>14.991510024</c:v>
                </c:pt>
                <c:pt idx="6">
                  <c:v>13.163495531000001</c:v>
                </c:pt>
                <c:pt idx="7">
                  <c:v>12.252325000000001</c:v>
                </c:pt>
              </c:numCache>
            </c:numRef>
          </c:val>
          <c:extLst>
            <c:ext xmlns:c16="http://schemas.microsoft.com/office/drawing/2014/chart" uri="{C3380CC4-5D6E-409C-BE32-E72D297353CC}">
              <c16:uniqueId val="{00000000-44B8-4325-B3DD-E28B09F399C2}"/>
            </c:ext>
          </c:extLst>
        </c:ser>
        <c:ser>
          <c:idx val="0"/>
          <c:order val="1"/>
          <c:tx>
            <c:strRef>
              <c:f>'Graphique 3'!$B$34</c:f>
              <c:strCache>
                <c:ptCount val="1"/>
                <c:pt idx="0">
                  <c:v>BNC régime réel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'Graphique 3'!$C$32:$J$32</c:f>
              <c:numCache>
                <c:formatCode>General</c:formatCode>
                <c:ptCount val="8"/>
                <c:pt idx="0">
                  <c:v>2018</c:v>
                </c:pt>
                <c:pt idx="1">
                  <c:v>2019</c:v>
                </c:pt>
                <c:pt idx="2">
                  <c:v>2020</c:v>
                </c:pt>
                <c:pt idx="3">
                  <c:v>2021</c:v>
                </c:pt>
                <c:pt idx="4">
                  <c:v>2022</c:v>
                </c:pt>
                <c:pt idx="5">
                  <c:v>2023</c:v>
                </c:pt>
                <c:pt idx="6">
                  <c:v>2024</c:v>
                </c:pt>
                <c:pt idx="7">
                  <c:v>2025</c:v>
                </c:pt>
              </c:numCache>
            </c:numRef>
          </c:cat>
          <c:val>
            <c:numRef>
              <c:f>'Graphique 3'!$C$34:$J$34</c:f>
              <c:numCache>
                <c:formatCode>0.0</c:formatCode>
                <c:ptCount val="8"/>
                <c:pt idx="0">
                  <c:v>35.920409583999998</c:v>
                </c:pt>
                <c:pt idx="1">
                  <c:v>35.108529924000003</c:v>
                </c:pt>
                <c:pt idx="2">
                  <c:v>33.258732629000001</c:v>
                </c:pt>
                <c:pt idx="3">
                  <c:v>36.157538934999998</c:v>
                </c:pt>
                <c:pt idx="4">
                  <c:v>34.635131899999998</c:v>
                </c:pt>
                <c:pt idx="5">
                  <c:v>34.170191312999997</c:v>
                </c:pt>
                <c:pt idx="6">
                  <c:v>42.088128363000003</c:v>
                </c:pt>
                <c:pt idx="7">
                  <c:v>44.227139999999999</c:v>
                </c:pt>
              </c:numCache>
            </c:numRef>
          </c:val>
          <c:extLst>
            <c:ext xmlns:c16="http://schemas.microsoft.com/office/drawing/2014/chart" uri="{C3380CC4-5D6E-409C-BE32-E72D297353CC}">
              <c16:uniqueId val="{00000001-44B8-4325-B3DD-E28B09F399C2}"/>
            </c:ext>
          </c:extLst>
        </c:ser>
        <c:ser>
          <c:idx val="4"/>
          <c:order val="2"/>
          <c:tx>
            <c:strRef>
              <c:f>'Graphique 3'!$B$35</c:f>
              <c:strCache>
                <c:ptCount val="1"/>
                <c:pt idx="0">
                  <c:v>BA régime réel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'Graphique 3'!$C$32:$J$32</c:f>
              <c:numCache>
                <c:formatCode>General</c:formatCode>
                <c:ptCount val="8"/>
                <c:pt idx="0">
                  <c:v>2018</c:v>
                </c:pt>
                <c:pt idx="1">
                  <c:v>2019</c:v>
                </c:pt>
                <c:pt idx="2">
                  <c:v>2020</c:v>
                </c:pt>
                <c:pt idx="3">
                  <c:v>2021</c:v>
                </c:pt>
                <c:pt idx="4">
                  <c:v>2022</c:v>
                </c:pt>
                <c:pt idx="5">
                  <c:v>2023</c:v>
                </c:pt>
                <c:pt idx="6">
                  <c:v>2024</c:v>
                </c:pt>
                <c:pt idx="7">
                  <c:v>2025</c:v>
                </c:pt>
              </c:numCache>
            </c:numRef>
          </c:cat>
          <c:val>
            <c:numRef>
              <c:f>'Graphique 3'!$C$35:$J$35</c:f>
              <c:numCache>
                <c:formatCode>0.0</c:formatCode>
                <c:ptCount val="8"/>
                <c:pt idx="0">
                  <c:v>10.166854592</c:v>
                </c:pt>
                <c:pt idx="1">
                  <c:v>9.7897467989999996</c:v>
                </c:pt>
                <c:pt idx="2">
                  <c:v>9.5328398500000002</c:v>
                </c:pt>
                <c:pt idx="3">
                  <c:v>10.633505803</c:v>
                </c:pt>
                <c:pt idx="4">
                  <c:v>14.961729688</c:v>
                </c:pt>
                <c:pt idx="5">
                  <c:v>14.904794694</c:v>
                </c:pt>
                <c:pt idx="6">
                  <c:v>10.591497899</c:v>
                </c:pt>
                <c:pt idx="7">
                  <c:v>10.185790000000001</c:v>
                </c:pt>
              </c:numCache>
            </c:numRef>
          </c:val>
          <c:extLst>
            <c:ext xmlns:c16="http://schemas.microsoft.com/office/drawing/2014/chart" uri="{C3380CC4-5D6E-409C-BE32-E72D297353CC}">
              <c16:uniqueId val="{00000002-44B8-4325-B3DD-E28B09F399C2}"/>
            </c:ext>
          </c:extLst>
        </c:ser>
        <c:ser>
          <c:idx val="5"/>
          <c:order val="3"/>
          <c:tx>
            <c:strRef>
              <c:f>'Graphique 3'!$B$36</c:f>
              <c:strCache>
                <c:ptCount val="1"/>
                <c:pt idx="0">
                  <c:v>Régime "micro" </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'Graphique 3'!$C$32:$J$32</c:f>
              <c:numCache>
                <c:formatCode>General</c:formatCode>
                <c:ptCount val="8"/>
                <c:pt idx="0">
                  <c:v>2018</c:v>
                </c:pt>
                <c:pt idx="1">
                  <c:v>2019</c:v>
                </c:pt>
                <c:pt idx="2">
                  <c:v>2020</c:v>
                </c:pt>
                <c:pt idx="3">
                  <c:v>2021</c:v>
                </c:pt>
                <c:pt idx="4">
                  <c:v>2022</c:v>
                </c:pt>
                <c:pt idx="5">
                  <c:v>2023</c:v>
                </c:pt>
                <c:pt idx="6">
                  <c:v>2024</c:v>
                </c:pt>
                <c:pt idx="7">
                  <c:v>2025</c:v>
                </c:pt>
              </c:numCache>
            </c:numRef>
          </c:cat>
          <c:val>
            <c:numRef>
              <c:f>'Graphique 3'!$C$36:$J$36</c:f>
              <c:numCache>
                <c:formatCode>0.0</c:formatCode>
                <c:ptCount val="8"/>
                <c:pt idx="0">
                  <c:v>10.695622704</c:v>
                </c:pt>
                <c:pt idx="1">
                  <c:v>12.824697194000001</c:v>
                </c:pt>
                <c:pt idx="2">
                  <c:v>13.016829956</c:v>
                </c:pt>
                <c:pt idx="3">
                  <c:v>16.301886694</c:v>
                </c:pt>
                <c:pt idx="4">
                  <c:v>18.880811916999999</c:v>
                </c:pt>
                <c:pt idx="5">
                  <c:v>20.362772488944866</c:v>
                </c:pt>
                <c:pt idx="6">
                  <c:v>22.340356559</c:v>
                </c:pt>
                <c:pt idx="7">
                  <c:v>23.084998879</c:v>
                </c:pt>
              </c:numCache>
            </c:numRef>
          </c:val>
          <c:extLst>
            <c:ext xmlns:c16="http://schemas.microsoft.com/office/drawing/2014/chart" uri="{C3380CC4-5D6E-409C-BE32-E72D297353CC}">
              <c16:uniqueId val="{00000003-44B8-4325-B3DD-E28B09F399C2}"/>
            </c:ext>
          </c:extLst>
        </c:ser>
        <c:dLbls>
          <c:dLblPos val="ctr"/>
          <c:showLegendKey val="0"/>
          <c:showVal val="1"/>
          <c:showCatName val="0"/>
          <c:showSerName val="0"/>
          <c:showPercent val="0"/>
          <c:showBubbleSize val="0"/>
        </c:dLbls>
        <c:gapWidth val="90"/>
        <c:overlap val="100"/>
        <c:axId val="763800847"/>
        <c:axId val="763802095"/>
      </c:barChart>
      <c:catAx>
        <c:axId val="7638008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crossAx val="763802095"/>
        <c:crosses val="autoZero"/>
        <c:auto val="1"/>
        <c:lblAlgn val="ctr"/>
        <c:lblOffset val="100"/>
        <c:noMultiLvlLbl val="0"/>
      </c:catAx>
      <c:valAx>
        <c:axId val="763802095"/>
        <c:scaling>
          <c:orientation val="minMax"/>
          <c:max val="90"/>
          <c:min val="0"/>
        </c:scaling>
        <c:delete val="0"/>
        <c:axPos val="l"/>
        <c:majorGridlines>
          <c:spPr>
            <a:ln w="9525" cap="flat" cmpd="sng" algn="ctr">
              <a:noFill/>
              <a:round/>
            </a:ln>
            <a:effectLst/>
          </c:spPr>
        </c:majorGridlines>
        <c:title>
          <c:tx>
            <c:rich>
              <a:bodyPr rot="0" spcFirstLastPara="1" vertOverflow="ellipsis" wrap="square" anchor="ctr" anchorCtr="1"/>
              <a:lstStyle/>
              <a:p>
                <a:pPr algn="l">
                  <a:defRPr sz="1800" b="1" i="0" u="none" strike="noStrike" kern="1200" baseline="0">
                    <a:solidFill>
                      <a:sysClr val="windowText" lastClr="000000"/>
                    </a:solidFill>
                    <a:latin typeface="+mn-lt"/>
                    <a:ea typeface="+mn-ea"/>
                    <a:cs typeface="+mn-cs"/>
                  </a:defRPr>
                </a:pPr>
                <a:r>
                  <a:rPr lang="en-US" sz="1800"/>
                  <a:t>Millions</a:t>
                </a:r>
              </a:p>
            </c:rich>
          </c:tx>
          <c:layout>
            <c:manualLayout>
              <c:xMode val="edge"/>
              <c:yMode val="edge"/>
              <c:x val="1.4100647250756835E-3"/>
              <c:y val="1.3814435516849083E-3"/>
            </c:manualLayout>
          </c:layout>
          <c:overlay val="0"/>
          <c:spPr>
            <a:noFill/>
            <a:ln>
              <a:noFill/>
            </a:ln>
            <a:effectLst/>
          </c:spPr>
          <c:txPr>
            <a:bodyPr rot="0" spcFirstLastPara="1" vertOverflow="ellipsis" wrap="square" anchor="ctr" anchorCtr="1"/>
            <a:lstStyle/>
            <a:p>
              <a:pPr algn="l">
                <a:defRPr sz="1800" b="1" i="0" u="none" strike="noStrike" kern="1200" baseline="0">
                  <a:solidFill>
                    <a:sysClr val="windowText" lastClr="000000"/>
                  </a:solidFill>
                  <a:latin typeface="+mn-lt"/>
                  <a:ea typeface="+mn-ea"/>
                  <a:cs typeface="+mn-cs"/>
                </a:defRPr>
              </a:pPr>
              <a:endParaRPr lang="fr-FR"/>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crossAx val="763800847"/>
        <c:crosses val="autoZero"/>
        <c:crossBetween val="between"/>
        <c:majorUnit val="10"/>
      </c:valAx>
      <c:spPr>
        <a:noFill/>
        <a:ln>
          <a:noFill/>
        </a:ln>
        <a:effectLst/>
      </c:spPr>
    </c:plotArea>
    <c:legend>
      <c:legendPos val="r"/>
      <c:layout>
        <c:manualLayout>
          <c:xMode val="edge"/>
          <c:yMode val="edge"/>
          <c:x val="0"/>
          <c:y val="0.92122708065747105"/>
          <c:w val="0.98584689413823268"/>
          <c:h val="7.8772919342528988E-2"/>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sz="2000" b="1">
          <a:solidFill>
            <a:sysClr val="windowText" lastClr="000000"/>
          </a:solidFill>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104775</xdr:colOff>
      <xdr:row>1</xdr:row>
      <xdr:rowOff>152400</xdr:rowOff>
    </xdr:from>
    <xdr:to>
      <xdr:col>13</xdr:col>
      <xdr:colOff>47625</xdr:colOff>
      <xdr:row>22</xdr:row>
      <xdr:rowOff>19049</xdr:rowOff>
    </xdr:to>
    <xdr:graphicFrame macro="">
      <xdr:nvGraphicFramePr>
        <xdr:cNvPr id="2" name="Graphique 1">
          <a:extLst>
            <a:ext uri="{FF2B5EF4-FFF2-40B4-BE49-F238E27FC236}">
              <a16:creationId xmlns:a16="http://schemas.microsoft.com/office/drawing/2014/main" id="{5598527E-3A14-49D2-AF9B-9AED7C64C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xdr:row>
      <xdr:rowOff>0</xdr:rowOff>
    </xdr:from>
    <xdr:to>
      <xdr:col>5</xdr:col>
      <xdr:colOff>647700</xdr:colOff>
      <xdr:row>22</xdr:row>
      <xdr:rowOff>57149</xdr:rowOff>
    </xdr:to>
    <xdr:graphicFrame macro="">
      <xdr:nvGraphicFramePr>
        <xdr:cNvPr id="3" name="Graphique 2">
          <a:extLst>
            <a:ext uri="{FF2B5EF4-FFF2-40B4-BE49-F238E27FC236}">
              <a16:creationId xmlns:a16="http://schemas.microsoft.com/office/drawing/2014/main" id="{4077B35A-B934-466A-9F3A-C88FE7F10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292100</xdr:colOff>
      <xdr:row>13</xdr:row>
      <xdr:rowOff>0</xdr:rowOff>
    </xdr:from>
    <xdr:to>
      <xdr:col>4</xdr:col>
      <xdr:colOff>762000</xdr:colOff>
      <xdr:row>15</xdr:row>
      <xdr:rowOff>139700</xdr:rowOff>
    </xdr:to>
    <xdr:sp macro="" textlink="">
      <xdr:nvSpPr>
        <xdr:cNvPr id="2" name="Rectangle 1">
          <a:extLst>
            <a:ext uri="{FF2B5EF4-FFF2-40B4-BE49-F238E27FC236}">
              <a16:creationId xmlns:a16="http://schemas.microsoft.com/office/drawing/2014/main" id="{EFDB2074-63EB-483E-80DD-13D488CDF957}"/>
            </a:ext>
          </a:extLst>
        </xdr:cNvPr>
        <xdr:cNvSpPr/>
      </xdr:nvSpPr>
      <xdr:spPr>
        <a:xfrm>
          <a:off x="5788025" y="3819525"/>
          <a:ext cx="469900" cy="80645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xdr:col>
      <xdr:colOff>142876</xdr:colOff>
      <xdr:row>1</xdr:row>
      <xdr:rowOff>19050</xdr:rowOff>
    </xdr:from>
    <xdr:to>
      <xdr:col>6</xdr:col>
      <xdr:colOff>257175</xdr:colOff>
      <xdr:row>16</xdr:row>
      <xdr:rowOff>285750</xdr:rowOff>
    </xdr:to>
    <xdr:graphicFrame macro="">
      <xdr:nvGraphicFramePr>
        <xdr:cNvPr id="3" name="Graphique 2">
          <a:extLst>
            <a:ext uri="{FF2B5EF4-FFF2-40B4-BE49-F238E27FC236}">
              <a16:creationId xmlns:a16="http://schemas.microsoft.com/office/drawing/2014/main" id="{08FB2157-2AD3-4D00-B588-23A33DC97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333374</xdr:colOff>
      <xdr:row>1</xdr:row>
      <xdr:rowOff>0</xdr:rowOff>
    </xdr:from>
    <xdr:to>
      <xdr:col>9</xdr:col>
      <xdr:colOff>333374</xdr:colOff>
      <xdr:row>21</xdr:row>
      <xdr:rowOff>1590675</xdr:rowOff>
    </xdr:to>
    <xdr:graphicFrame macro="">
      <xdr:nvGraphicFramePr>
        <xdr:cNvPr id="2" name="Graphique 1">
          <a:extLst>
            <a:ext uri="{FF2B5EF4-FFF2-40B4-BE49-F238E27FC236}">
              <a16:creationId xmlns:a16="http://schemas.microsoft.com/office/drawing/2014/main" id="{487C73AA-C448-4E55-BFF0-9097D6615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285750</xdr:colOff>
      <xdr:row>0</xdr:row>
      <xdr:rowOff>228600</xdr:rowOff>
    </xdr:from>
    <xdr:to>
      <xdr:col>18</xdr:col>
      <xdr:colOff>476250</xdr:colOff>
      <xdr:row>21</xdr:row>
      <xdr:rowOff>1552575</xdr:rowOff>
    </xdr:to>
    <xdr:graphicFrame macro="">
      <xdr:nvGraphicFramePr>
        <xdr:cNvPr id="3" name="Graphique 2">
          <a:extLst>
            <a:ext uri="{FF2B5EF4-FFF2-40B4-BE49-F238E27FC236}">
              <a16:creationId xmlns:a16="http://schemas.microsoft.com/office/drawing/2014/main" id="{8EB37C07-68E5-4461-B656-30BAD5676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showGridLines="0" workbookViewId="0">
      <selection activeCell="E23" sqref="E23"/>
    </sheetView>
  </sheetViews>
  <sheetFormatPr baseColWidth="10" defaultRowHeight="15" x14ac:dyDescent="0.25"/>
  <cols>
    <col min="9" max="9" width="78.85546875" customWidth="1"/>
  </cols>
  <sheetData>
    <row r="1" spans="1:9" ht="33" customHeight="1" x14ac:dyDescent="0.25">
      <c r="A1" s="100" t="s">
        <v>66</v>
      </c>
      <c r="B1" s="101"/>
      <c r="C1" s="101"/>
      <c r="D1" s="101"/>
      <c r="E1" s="101"/>
      <c r="F1" s="101"/>
      <c r="G1" s="101"/>
      <c r="H1" s="101"/>
      <c r="I1" s="102"/>
    </row>
    <row r="2" spans="1:9" ht="15.75" x14ac:dyDescent="0.25">
      <c r="A2" s="103" t="s">
        <v>67</v>
      </c>
      <c r="B2" s="103"/>
      <c r="C2" s="103"/>
      <c r="D2" s="103"/>
      <c r="E2" s="103"/>
      <c r="F2" s="103"/>
      <c r="G2" s="103"/>
      <c r="H2" s="103"/>
      <c r="I2" s="103"/>
    </row>
    <row r="3" spans="1:9" x14ac:dyDescent="0.25">
      <c r="A3" s="104"/>
      <c r="B3" s="104"/>
      <c r="C3" s="104"/>
      <c r="D3" s="104"/>
      <c r="E3" s="104"/>
      <c r="F3" s="104"/>
      <c r="G3" s="104"/>
      <c r="H3" s="104"/>
      <c r="I3" s="104"/>
    </row>
    <row r="4" spans="1:9" x14ac:dyDescent="0.25">
      <c r="A4" s="105" t="s">
        <v>0</v>
      </c>
      <c r="B4" s="105"/>
      <c r="C4" s="105"/>
      <c r="D4" s="105"/>
      <c r="E4" s="105"/>
      <c r="F4" s="105"/>
      <c r="G4" s="105"/>
      <c r="H4" s="105"/>
      <c r="I4" s="105"/>
    </row>
    <row r="5" spans="1:9" ht="24" customHeight="1" x14ac:dyDescent="0.25">
      <c r="A5" s="106" t="s">
        <v>68</v>
      </c>
      <c r="B5" s="106"/>
      <c r="C5" s="106"/>
      <c r="D5" s="106"/>
      <c r="E5" s="106"/>
      <c r="F5" s="106"/>
      <c r="G5" s="106"/>
      <c r="H5" s="106"/>
      <c r="I5" s="106"/>
    </row>
    <row r="6" spans="1:9" x14ac:dyDescent="0.25">
      <c r="A6" s="99" t="s">
        <v>1</v>
      </c>
      <c r="B6" s="99"/>
      <c r="C6" s="99"/>
      <c r="D6" s="99"/>
      <c r="E6" s="99"/>
      <c r="F6" s="99"/>
      <c r="G6" s="99"/>
      <c r="H6" s="99"/>
      <c r="I6" s="99"/>
    </row>
    <row r="7" spans="1:9" ht="48.75" customHeight="1" x14ac:dyDescent="0.25">
      <c r="A7" s="106" t="s">
        <v>88</v>
      </c>
      <c r="B7" s="106"/>
      <c r="C7" s="106"/>
      <c r="D7" s="106"/>
      <c r="E7" s="106"/>
      <c r="F7" s="106"/>
      <c r="G7" s="106"/>
      <c r="H7" s="106"/>
      <c r="I7" s="106"/>
    </row>
    <row r="8" spans="1:9" x14ac:dyDescent="0.25">
      <c r="A8" s="105" t="s">
        <v>2</v>
      </c>
      <c r="B8" s="105"/>
      <c r="C8" s="105"/>
      <c r="D8" s="105"/>
      <c r="E8" s="105"/>
      <c r="F8" s="105"/>
      <c r="G8" s="105"/>
      <c r="H8" s="105"/>
      <c r="I8" s="105"/>
    </row>
    <row r="9" spans="1:9" x14ac:dyDescent="0.25">
      <c r="A9" s="109" t="s">
        <v>10</v>
      </c>
      <c r="B9" s="109"/>
      <c r="C9" s="109"/>
      <c r="D9" s="109"/>
      <c r="E9" s="109"/>
      <c r="F9" s="109"/>
      <c r="G9" s="109"/>
      <c r="H9" s="109"/>
      <c r="I9" s="109"/>
    </row>
    <row r="10" spans="1:9" x14ac:dyDescent="0.25">
      <c r="A10" s="107" t="s">
        <v>30</v>
      </c>
      <c r="B10" s="107"/>
      <c r="C10" s="107"/>
      <c r="D10" s="107"/>
      <c r="E10" s="107"/>
      <c r="F10" s="107"/>
      <c r="G10" s="107"/>
      <c r="H10" s="107"/>
      <c r="I10" s="107"/>
    </row>
    <row r="11" spans="1:9" x14ac:dyDescent="0.25">
      <c r="A11" s="107" t="s">
        <v>90</v>
      </c>
      <c r="B11" s="107"/>
      <c r="C11" s="107"/>
      <c r="D11" s="107"/>
      <c r="E11" s="107"/>
      <c r="F11" s="107"/>
      <c r="G11" s="107"/>
      <c r="H11" s="107"/>
      <c r="I11" s="107"/>
    </row>
    <row r="12" spans="1:9" ht="15" customHeight="1" x14ac:dyDescent="0.25">
      <c r="A12" s="107" t="s">
        <v>89</v>
      </c>
      <c r="B12" s="107"/>
      <c r="C12" s="107"/>
      <c r="D12" s="107"/>
      <c r="E12" s="107"/>
      <c r="F12" s="107"/>
      <c r="G12" s="107"/>
      <c r="H12" s="107"/>
      <c r="I12" s="107"/>
    </row>
    <row r="13" spans="1:9" x14ac:dyDescent="0.25">
      <c r="A13" s="107" t="s">
        <v>31</v>
      </c>
      <c r="B13" s="107"/>
      <c r="C13" s="107"/>
      <c r="D13" s="107"/>
      <c r="E13" s="107"/>
      <c r="F13" s="107"/>
      <c r="G13" s="107"/>
      <c r="H13" s="107"/>
      <c r="I13" s="107"/>
    </row>
    <row r="14" spans="1:9" ht="15" customHeight="1" x14ac:dyDescent="0.25">
      <c r="A14" s="107" t="s">
        <v>86</v>
      </c>
      <c r="B14" s="107"/>
      <c r="C14" s="107"/>
      <c r="D14" s="107"/>
      <c r="E14" s="107"/>
      <c r="F14" s="107"/>
      <c r="G14" s="107"/>
      <c r="H14" s="107"/>
      <c r="I14" s="107"/>
    </row>
    <row r="15" spans="1:9" x14ac:dyDescent="0.25">
      <c r="A15" s="109"/>
      <c r="B15" s="109"/>
      <c r="C15" s="109"/>
      <c r="D15" s="109"/>
      <c r="E15" s="109"/>
      <c r="F15" s="109"/>
      <c r="G15" s="109"/>
      <c r="H15" s="109"/>
      <c r="I15" s="109"/>
    </row>
    <row r="16" spans="1:9" x14ac:dyDescent="0.25">
      <c r="A16" s="108" t="s">
        <v>3</v>
      </c>
      <c r="B16" s="108"/>
      <c r="C16" s="108"/>
      <c r="D16" s="108"/>
      <c r="E16" s="108"/>
      <c r="F16" s="108"/>
      <c r="G16" s="108"/>
      <c r="H16" s="108"/>
      <c r="I16" s="108"/>
    </row>
  </sheetData>
  <mergeCells count="16">
    <mergeCell ref="A10:I10"/>
    <mergeCell ref="A16:I16"/>
    <mergeCell ref="A7:I7"/>
    <mergeCell ref="A8:I8"/>
    <mergeCell ref="A9:I9"/>
    <mergeCell ref="A13:I13"/>
    <mergeCell ref="A15:I15"/>
    <mergeCell ref="A14:I14"/>
    <mergeCell ref="A12:I12"/>
    <mergeCell ref="A11:I11"/>
    <mergeCell ref="A6:I6"/>
    <mergeCell ref="A1:I1"/>
    <mergeCell ref="A2:I2"/>
    <mergeCell ref="A3:I3"/>
    <mergeCell ref="A4:I4"/>
    <mergeCell ref="A5:I5"/>
  </mergeCells>
  <hyperlinks>
    <hyperlink ref="A9" location="'Graphique 1'!A1" display="Graphique 1 : Nombre de foyers « IFI » en 2020 et IFI médian par foyer, par tranche de patrimoine" xr:uid="{00000000-0004-0000-0000-000000000000}"/>
    <hyperlink ref="A9:I9" location="'Graphique 1'!A1" display="Graphique 1 : Nombre de foyers « IFI » en 2020 et IFI médian par foyer, par tranche de patrimoine immobilier imposable" xr:uid="{00000000-0004-0000-0000-000001000000}"/>
    <hyperlink ref="A10:I10" location="'Graphique 2'!A1" display="Graphique 2 : Recettes nettes de TVA prévues en l'absence de la pandémie de covid-19 et constatées, hors accélération des remboursements, en milliards d'euros en 2020" xr:uid="{00000000-0004-0000-0000-000002000000}"/>
    <hyperlink ref="A12" location="'Tableau 2'!A1" display="Tableau 2 : Chiffre d’affaires par type de déclaration pour les années 2019 et 2020 et leur évolution" xr:uid="{00000000-0004-0000-0000-000003000000}"/>
    <hyperlink ref="A14" location="'Tableau 3'!A1" display="Tableau 3. Réductions et crédits d’impôt accordés aux entreprises en 2019 et 2020" xr:uid="{00000000-0004-0000-0000-000004000000}"/>
    <hyperlink ref="A13:I13" location="'Graphique 3'!A1" display="Graphique 3 : Résultats et nombre des entreprises imposées à l’IR par régime d’imposition pour les années 2015 à 2020 " xr:uid="{00000000-0004-0000-0000-000005000000}"/>
    <hyperlink ref="A11" location="'Tableau 1'!A1" display="Tableau 1 : Répartition du résultat des entreprises imposées à l'IS par secteurs d'activités en 2020 et leur variation entre 2019 et 2020" xr:uid="{00000000-0004-0000-0000-000006000000}"/>
    <hyperlink ref="A14:I14" location="'Tableau 3'!A1" display="Tableau 3: Principaux crédits et réductions d’impôt des entreprises en 2025" xr:uid="{06ECCD80-FB8D-49AC-B015-873133C6B633}"/>
    <hyperlink ref="A12:I12" location="'Tableau 2'!A1" display="Tableau 2: Répartition des montants déclarés à l’IS et leur évolution par catégorie d’entreprises en 2025" xr:uid="{25C9BBCB-8B43-4B79-9DFA-E3AB947337B1}"/>
    <hyperlink ref="A11:I11" location="'Tableau 1'!A1" display="Tableau 1 : Répartition du nombre, du résultat fiscal et de l'IS brut des entreprises imposées à l'IS par secteurs d'activités en 2025 et variation du résultat fiscal entre 2024 et 2025" xr:uid="{4089C651-5085-4DFD-941F-FC7C3FBDAA44}"/>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6F35F-1A56-4134-9E73-3A5C3FC6D256}">
  <sheetPr>
    <pageSetUpPr fitToPage="1"/>
  </sheetPr>
  <dimension ref="A1:M40"/>
  <sheetViews>
    <sheetView showGridLines="0" tabSelected="1" zoomScaleNormal="100" workbookViewId="0">
      <selection activeCell="P10" sqref="P10"/>
    </sheetView>
  </sheetViews>
  <sheetFormatPr baseColWidth="10" defaultRowHeight="15" x14ac:dyDescent="0.25"/>
  <cols>
    <col min="1" max="1" width="1.7109375" customWidth="1"/>
    <col min="2" max="2" width="39" customWidth="1"/>
    <col min="3" max="3" width="12.7109375" customWidth="1"/>
    <col min="4" max="4" width="13.28515625" bestFit="1" customWidth="1"/>
    <col min="5" max="12" width="12.7109375" customWidth="1"/>
  </cols>
  <sheetData>
    <row r="1" spans="2:2" ht="18.75" x14ac:dyDescent="0.3">
      <c r="B1" s="9" t="s">
        <v>10</v>
      </c>
    </row>
    <row r="23" spans="2:13" ht="15.75" x14ac:dyDescent="0.25">
      <c r="B23" s="4" t="s">
        <v>69</v>
      </c>
    </row>
    <row r="24" spans="2:13" ht="15.75" x14ac:dyDescent="0.25">
      <c r="B24" s="4" t="s">
        <v>70</v>
      </c>
    </row>
    <row r="25" spans="2:13" x14ac:dyDescent="0.25">
      <c r="B25" s="10"/>
    </row>
    <row r="26" spans="2:13" x14ac:dyDescent="0.25">
      <c r="B26" s="31" t="s">
        <v>33</v>
      </c>
      <c r="C26" s="25">
        <v>2018</v>
      </c>
      <c r="D26" s="25">
        <v>2019</v>
      </c>
      <c r="E26" s="25">
        <v>2020</v>
      </c>
      <c r="F26" s="25">
        <v>2021</v>
      </c>
      <c r="G26" s="25">
        <v>2022</v>
      </c>
      <c r="H26" s="25">
        <v>2023</v>
      </c>
      <c r="I26" s="25">
        <v>2024</v>
      </c>
      <c r="J26" s="25">
        <v>2025</v>
      </c>
      <c r="M26" s="42"/>
    </row>
    <row r="27" spans="2:13" x14ac:dyDescent="0.25">
      <c r="B27" s="25" t="s">
        <v>9</v>
      </c>
      <c r="C27" s="27">
        <v>1.8975219999999999</v>
      </c>
      <c r="D27" s="27">
        <v>2.002659</v>
      </c>
      <c r="E27" s="27">
        <v>2.136933</v>
      </c>
      <c r="F27" s="27">
        <v>2.2857750000000001</v>
      </c>
      <c r="G27" s="27">
        <v>2.4389159999999999</v>
      </c>
      <c r="H27" s="27">
        <v>2.5882170000000002</v>
      </c>
      <c r="I27" s="27">
        <v>2.707824</v>
      </c>
      <c r="J27" s="27">
        <v>2.8340329999999998</v>
      </c>
      <c r="L27" s="42"/>
    </row>
    <row r="28" spans="2:13" x14ac:dyDescent="0.25">
      <c r="B28" s="25" t="s">
        <v>32</v>
      </c>
      <c r="C28" s="27">
        <v>3.3868040000000001</v>
      </c>
      <c r="D28" s="27">
        <v>3.595682</v>
      </c>
      <c r="E28" s="27">
        <v>3.7452570000000001</v>
      </c>
      <c r="F28" s="27">
        <v>3.989916</v>
      </c>
      <c r="G28" s="27">
        <v>4.2623340000000001</v>
      </c>
      <c r="H28" s="27">
        <v>4.4411389999999997</v>
      </c>
      <c r="I28" s="27">
        <v>4.7339079999999996</v>
      </c>
      <c r="J28" s="27">
        <v>4.8271470000000001</v>
      </c>
    </row>
    <row r="29" spans="2:13" x14ac:dyDescent="0.25">
      <c r="B29" s="10"/>
      <c r="C29" s="39"/>
      <c r="D29" s="39"/>
      <c r="E29" s="39"/>
      <c r="F29" s="39"/>
      <c r="G29" s="39"/>
      <c r="H29" s="39"/>
      <c r="I29" s="39"/>
      <c r="J29" s="39"/>
      <c r="K29" s="38"/>
      <c r="L29" s="39"/>
    </row>
    <row r="30" spans="2:13" x14ac:dyDescent="0.25">
      <c r="B30" s="10"/>
      <c r="C30" s="39"/>
      <c r="D30" s="39"/>
      <c r="E30" s="39"/>
      <c r="F30" s="39"/>
      <c r="G30" s="39"/>
      <c r="H30" s="39"/>
      <c r="I30" s="39"/>
      <c r="J30" s="39"/>
      <c r="K30" s="38"/>
      <c r="L30" s="39"/>
    </row>
    <row r="31" spans="2:13" x14ac:dyDescent="0.25">
      <c r="B31" s="10"/>
      <c r="C31" s="39"/>
      <c r="K31" s="43"/>
      <c r="L31" s="43"/>
    </row>
    <row r="32" spans="2:13" x14ac:dyDescent="0.25">
      <c r="B32" s="10"/>
      <c r="C32" s="39"/>
      <c r="K32" s="43"/>
      <c r="L32" s="39"/>
    </row>
    <row r="33" spans="1:13" x14ac:dyDescent="0.25">
      <c r="J33" s="41"/>
      <c r="K33" s="38"/>
    </row>
    <row r="34" spans="1:13" x14ac:dyDescent="0.25">
      <c r="B34" s="31" t="s">
        <v>34</v>
      </c>
      <c r="C34" s="24">
        <v>2018</v>
      </c>
      <c r="D34" s="24">
        <v>2019</v>
      </c>
      <c r="E34" s="24">
        <v>2020</v>
      </c>
      <c r="F34" s="24">
        <v>2021</v>
      </c>
      <c r="G34" s="24">
        <v>2022</v>
      </c>
      <c r="H34" s="24">
        <v>2023</v>
      </c>
      <c r="I34" s="24">
        <v>2024</v>
      </c>
      <c r="J34" s="24">
        <v>2025</v>
      </c>
      <c r="K34" s="38"/>
    </row>
    <row r="35" spans="1:13" ht="18.75" customHeight="1" x14ac:dyDescent="0.25">
      <c r="B35" s="25" t="s">
        <v>7</v>
      </c>
      <c r="C35" s="26">
        <v>112.88612356500001</v>
      </c>
      <c r="D35" s="26">
        <v>154.445971023</v>
      </c>
      <c r="E35" s="26">
        <v>90.622457901999994</v>
      </c>
      <c r="F35" s="26">
        <v>186.401839889</v>
      </c>
      <c r="G35" s="26">
        <v>164.142080819</v>
      </c>
      <c r="H35" s="26">
        <v>180.91149167</v>
      </c>
      <c r="I35" s="26">
        <v>170.55160426099999</v>
      </c>
      <c r="J35" s="26">
        <v>176.05761920399999</v>
      </c>
      <c r="K35" s="38"/>
      <c r="L35" s="2"/>
    </row>
    <row r="36" spans="1:13" ht="18" customHeight="1" x14ac:dyDescent="0.25">
      <c r="B36" s="25" t="s">
        <v>8</v>
      </c>
      <c r="C36" s="26">
        <v>76.806051018000005</v>
      </c>
      <c r="D36" s="26">
        <v>77.780046209999995</v>
      </c>
      <c r="E36" s="26">
        <v>72.098523166000007</v>
      </c>
      <c r="F36" s="26">
        <v>80.070530955999999</v>
      </c>
      <c r="G36" s="26">
        <v>87.185480816999998</v>
      </c>
      <c r="H36" s="26">
        <v>84.286251536296803</v>
      </c>
      <c r="I36" s="26">
        <v>88.183478352000009</v>
      </c>
      <c r="J36" s="26">
        <v>89.750253878999999</v>
      </c>
      <c r="K36" s="38"/>
      <c r="L36" s="3"/>
      <c r="M36" s="3"/>
    </row>
    <row r="37" spans="1:13" ht="26.25" x14ac:dyDescent="0.25">
      <c r="B37" s="30"/>
      <c r="C37" s="40"/>
      <c r="D37" s="40"/>
      <c r="E37" s="40"/>
      <c r="F37" s="40"/>
      <c r="G37" s="40"/>
      <c r="H37" s="40"/>
      <c r="I37" s="40"/>
      <c r="J37" s="40"/>
      <c r="K37" s="38"/>
      <c r="L37" s="3"/>
      <c r="M37" s="3"/>
    </row>
    <row r="38" spans="1:13" ht="26.25" x14ac:dyDescent="0.25">
      <c r="A38" s="6"/>
      <c r="J38" s="3"/>
      <c r="K38" s="3"/>
      <c r="L38" s="3"/>
      <c r="M38" s="3"/>
    </row>
    <row r="39" spans="1:13" x14ac:dyDescent="0.25">
      <c r="B39" s="30"/>
      <c r="C39" s="37"/>
      <c r="D39" s="37"/>
    </row>
    <row r="40" spans="1:13" x14ac:dyDescent="0.25">
      <c r="B40" s="30"/>
      <c r="C40" s="37"/>
      <c r="D40" s="37"/>
    </row>
  </sheetData>
  <pageMargins left="0.7" right="0.7" top="0.75" bottom="0.75" header="0.3" footer="0.3"/>
  <pageSetup paperSize="9" scale="4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967F6-D33E-45D3-ACCC-E705DF1DA5F8}">
  <sheetPr>
    <pageSetUpPr fitToPage="1"/>
  </sheetPr>
  <dimension ref="B1:F32"/>
  <sheetViews>
    <sheetView showGridLines="0" zoomScaleNormal="100" workbookViewId="0">
      <selection activeCell="B19" sqref="B19"/>
    </sheetView>
  </sheetViews>
  <sheetFormatPr baseColWidth="10" defaultRowHeight="15" x14ac:dyDescent="0.25"/>
  <cols>
    <col min="1" max="1" width="5.28515625" customWidth="1"/>
    <col min="2" max="2" width="51.5703125" customWidth="1"/>
    <col min="3" max="3" width="13.5703125" customWidth="1"/>
    <col min="4" max="4" width="12" customWidth="1"/>
    <col min="5" max="5" width="13.5703125" customWidth="1"/>
    <col min="6" max="6" width="13.7109375" customWidth="1"/>
    <col min="7" max="7" width="12.28515625" customWidth="1"/>
    <col min="8" max="8" width="12.85546875" customWidth="1"/>
    <col min="9" max="9" width="13.42578125" customWidth="1"/>
  </cols>
  <sheetData>
    <row r="1" spans="2:2" ht="18.75" x14ac:dyDescent="0.3">
      <c r="B1" s="9" t="s">
        <v>30</v>
      </c>
    </row>
    <row r="2" spans="2:2" ht="23.25" x14ac:dyDescent="0.35">
      <c r="B2" s="5"/>
    </row>
    <row r="3" spans="2:2" ht="23.25" x14ac:dyDescent="0.35">
      <c r="B3" s="5"/>
    </row>
    <row r="4" spans="2:2" ht="23.25" x14ac:dyDescent="0.35">
      <c r="B4" s="5"/>
    </row>
    <row r="5" spans="2:2" ht="23.25" x14ac:dyDescent="0.35">
      <c r="B5" s="5"/>
    </row>
    <row r="6" spans="2:2" ht="23.25" x14ac:dyDescent="0.35">
      <c r="B6" s="5"/>
    </row>
    <row r="7" spans="2:2" ht="23.25" x14ac:dyDescent="0.35">
      <c r="B7" s="5"/>
    </row>
    <row r="8" spans="2:2" ht="23.25" x14ac:dyDescent="0.35">
      <c r="B8" s="5"/>
    </row>
    <row r="9" spans="2:2" ht="23.25" x14ac:dyDescent="0.35">
      <c r="B9" s="5"/>
    </row>
    <row r="10" spans="2:2" ht="23.25" x14ac:dyDescent="0.35">
      <c r="B10" s="5"/>
    </row>
    <row r="11" spans="2:2" ht="23.25" x14ac:dyDescent="0.35">
      <c r="B11" s="5"/>
    </row>
    <row r="12" spans="2:2" ht="23.25" x14ac:dyDescent="0.35">
      <c r="B12" s="5"/>
    </row>
    <row r="13" spans="2:2" ht="26.25" x14ac:dyDescent="0.4">
      <c r="B13" s="1"/>
    </row>
    <row r="14" spans="2:2" ht="26.25" x14ac:dyDescent="0.4">
      <c r="B14" s="1"/>
    </row>
    <row r="15" spans="2:2" ht="26.25" x14ac:dyDescent="0.4">
      <c r="B15" s="1"/>
    </row>
    <row r="16" spans="2:2" ht="26.25" x14ac:dyDescent="0.4">
      <c r="B16" s="1"/>
    </row>
    <row r="17" spans="2:6" ht="26.25" x14ac:dyDescent="0.4">
      <c r="B17" s="1"/>
    </row>
    <row r="18" spans="2:6" ht="15.75" x14ac:dyDescent="0.25">
      <c r="B18" s="4" t="s">
        <v>76</v>
      </c>
    </row>
    <row r="19" spans="2:6" ht="15.75" x14ac:dyDescent="0.25">
      <c r="B19" s="4" t="s">
        <v>62</v>
      </c>
    </row>
    <row r="20" spans="2:6" ht="15.75" x14ac:dyDescent="0.25">
      <c r="B20" s="4" t="s">
        <v>63</v>
      </c>
    </row>
    <row r="21" spans="2:6" ht="15.75" x14ac:dyDescent="0.25">
      <c r="B21" s="4" t="s">
        <v>71</v>
      </c>
    </row>
    <row r="22" spans="2:6" ht="15.75" x14ac:dyDescent="0.25">
      <c r="B22" s="4" t="s">
        <v>72</v>
      </c>
    </row>
    <row r="23" spans="2:6" ht="15.75" x14ac:dyDescent="0.25">
      <c r="B23" s="4"/>
    </row>
    <row r="24" spans="2:6" x14ac:dyDescent="0.25">
      <c r="B24" s="20"/>
      <c r="C24" s="21">
        <v>2022</v>
      </c>
      <c r="D24" s="21">
        <v>2023</v>
      </c>
      <c r="E24" s="21">
        <v>2024</v>
      </c>
      <c r="F24" s="21">
        <v>2025</v>
      </c>
    </row>
    <row r="25" spans="2:6" x14ac:dyDescent="0.25">
      <c r="B25" s="22" t="s">
        <v>4</v>
      </c>
      <c r="C25" s="23">
        <v>26.636942294000001</v>
      </c>
      <c r="D25" s="23">
        <v>28.944907658000002</v>
      </c>
      <c r="E25" s="23">
        <v>30.028689332999999</v>
      </c>
      <c r="F25" s="23">
        <v>30.608340826999999</v>
      </c>
    </row>
    <row r="26" spans="2:6" x14ac:dyDescent="0.25">
      <c r="B26" s="22" t="s">
        <v>5</v>
      </c>
      <c r="C26" s="23">
        <v>201.79876791500001</v>
      </c>
      <c r="D26" s="23">
        <v>253.238679617</v>
      </c>
      <c r="E26" s="23">
        <v>253.750100164</v>
      </c>
      <c r="F26" s="23">
        <v>256.80011386400002</v>
      </c>
    </row>
    <row r="27" spans="2:6" x14ac:dyDescent="0.25">
      <c r="B27" s="49" t="s">
        <v>6</v>
      </c>
      <c r="C27" s="23">
        <v>39.345776829999998</v>
      </c>
      <c r="D27" s="23">
        <v>0</v>
      </c>
      <c r="E27" s="23">
        <v>0</v>
      </c>
      <c r="F27" s="23">
        <v>0</v>
      </c>
    </row>
    <row r="28" spans="2:6" x14ac:dyDescent="0.25">
      <c r="B28" s="49" t="s">
        <v>41</v>
      </c>
      <c r="C28" s="23">
        <v>9.6002111659999994</v>
      </c>
      <c r="D28" s="23">
        <v>0</v>
      </c>
      <c r="E28" s="23">
        <v>0</v>
      </c>
      <c r="F28" s="23">
        <v>0</v>
      </c>
    </row>
    <row r="29" spans="2:6" x14ac:dyDescent="0.25">
      <c r="B29" s="22" t="s">
        <v>42</v>
      </c>
      <c r="C29" s="48">
        <v>0</v>
      </c>
      <c r="D29" s="48">
        <v>0</v>
      </c>
      <c r="E29" s="48">
        <v>0</v>
      </c>
      <c r="F29" s="51">
        <v>20.399999999999999</v>
      </c>
    </row>
    <row r="30" spans="2:6" x14ac:dyDescent="0.25">
      <c r="B30" s="22" t="s">
        <v>11</v>
      </c>
      <c r="C30" s="23">
        <v>-113.321809479</v>
      </c>
      <c r="D30" s="23">
        <v>-101.806874067</v>
      </c>
      <c r="E30" s="23">
        <v>-113.64528007600001</v>
      </c>
      <c r="F30" s="23">
        <v>-111.31769330100001</v>
      </c>
    </row>
    <row r="31" spans="2:6" x14ac:dyDescent="0.25">
      <c r="B31" s="22" t="s">
        <v>64</v>
      </c>
      <c r="C31" s="47">
        <v>1566.116</v>
      </c>
      <c r="D31" s="47">
        <v>1676.2</v>
      </c>
      <c r="E31" s="47">
        <v>1731.12</v>
      </c>
      <c r="F31" s="47">
        <v>1788.0306435537</v>
      </c>
    </row>
    <row r="32" spans="2:6" x14ac:dyDescent="0.25">
      <c r="B32" s="22" t="s">
        <v>65</v>
      </c>
      <c r="C32" s="47">
        <v>872.78399999999999</v>
      </c>
      <c r="D32" s="47">
        <v>912</v>
      </c>
      <c r="E32" s="47">
        <v>976.70399999999995</v>
      </c>
      <c r="F32" s="50">
        <v>1046.00215888506</v>
      </c>
    </row>
  </sheetData>
  <pageMargins left="0.7" right="0.7" top="0.75" bottom="0.75" header="0.3" footer="0.3"/>
  <pageSetup paperSize="9" scale="5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3DC9-B225-4A1B-9A8E-AAF34E1CCA9F}">
  <sheetPr>
    <pageSetUpPr fitToPage="1"/>
  </sheetPr>
  <dimension ref="B1:J36"/>
  <sheetViews>
    <sheetView showGridLines="0" zoomScaleNormal="100" workbookViewId="0">
      <selection activeCell="M35" sqref="M35"/>
    </sheetView>
  </sheetViews>
  <sheetFormatPr baseColWidth="10" defaultRowHeight="15" x14ac:dyDescent="0.25"/>
  <cols>
    <col min="1" max="1" width="5" customWidth="1"/>
    <col min="2" max="2" width="52" customWidth="1"/>
    <col min="3" max="3" width="10.28515625" customWidth="1"/>
    <col min="4" max="4" width="10.42578125" customWidth="1"/>
    <col min="5" max="5" width="10.85546875" customWidth="1"/>
    <col min="6" max="6" width="10.42578125" customWidth="1"/>
    <col min="7" max="8" width="10" customWidth="1"/>
    <col min="10" max="10" width="11.85546875" bestFit="1" customWidth="1"/>
    <col min="11" max="11" width="11.85546875" customWidth="1"/>
    <col min="12" max="12" width="15" bestFit="1" customWidth="1"/>
    <col min="14" max="14" width="11.7109375" bestFit="1" customWidth="1"/>
    <col min="15" max="15" width="14.42578125" customWidth="1"/>
    <col min="16" max="16" width="18" bestFit="1" customWidth="1"/>
    <col min="17" max="17" width="12.28515625" bestFit="1" customWidth="1"/>
    <col min="18" max="18" width="14.7109375" bestFit="1" customWidth="1"/>
    <col min="19" max="19" width="12" bestFit="1" customWidth="1"/>
    <col min="22" max="22" width="15.5703125" bestFit="1" customWidth="1"/>
    <col min="23" max="23" width="14.7109375" bestFit="1" customWidth="1"/>
    <col min="24" max="24" width="12.28515625" bestFit="1" customWidth="1"/>
    <col min="25" max="25" width="14.7109375" bestFit="1" customWidth="1"/>
  </cols>
  <sheetData>
    <row r="1" spans="2:2" ht="18.75" x14ac:dyDescent="0.3">
      <c r="B1" s="9" t="s">
        <v>31</v>
      </c>
    </row>
    <row r="22" spans="2:10" ht="137.25" customHeight="1" x14ac:dyDescent="0.25"/>
    <row r="23" spans="2:10" ht="15.75" x14ac:dyDescent="0.25">
      <c r="B23" s="4" t="s">
        <v>77</v>
      </c>
    </row>
    <row r="24" spans="2:10" ht="15.75" x14ac:dyDescent="0.25">
      <c r="B24" s="4" t="s">
        <v>84</v>
      </c>
    </row>
    <row r="26" spans="2:10" x14ac:dyDescent="0.25">
      <c r="B26" s="34" t="s">
        <v>33</v>
      </c>
      <c r="C26" s="21">
        <v>2018</v>
      </c>
      <c r="D26" s="21">
        <v>2019</v>
      </c>
      <c r="E26" s="21">
        <v>2020</v>
      </c>
      <c r="F26" s="21">
        <v>2021</v>
      </c>
      <c r="G26" s="21">
        <v>2022</v>
      </c>
      <c r="H26" s="21">
        <v>2023</v>
      </c>
      <c r="I26" s="21">
        <v>2024</v>
      </c>
      <c r="J26" s="21">
        <v>2025</v>
      </c>
    </row>
    <row r="27" spans="2:10" ht="15.75" customHeight="1" x14ac:dyDescent="0.25">
      <c r="B27" s="33" t="s">
        <v>35</v>
      </c>
      <c r="C27" s="32">
        <v>0.82667000000000002</v>
      </c>
      <c r="D27" s="32">
        <v>0.84961100000000001</v>
      </c>
      <c r="E27" s="32">
        <v>0.88536000000000004</v>
      </c>
      <c r="F27" s="32">
        <v>0.941944</v>
      </c>
      <c r="G27" s="32">
        <v>1.009911</v>
      </c>
      <c r="H27" s="32">
        <v>1.0773919999999999</v>
      </c>
      <c r="I27" s="32">
        <v>1.142633</v>
      </c>
      <c r="J27" s="32">
        <v>1.212979</v>
      </c>
    </row>
    <row r="28" spans="2:10" ht="15" customHeight="1" x14ac:dyDescent="0.25">
      <c r="B28" s="33" t="s">
        <v>36</v>
      </c>
      <c r="C28" s="32">
        <v>0.58567800000000003</v>
      </c>
      <c r="D28" s="32">
        <v>0.57804299999999997</v>
      </c>
      <c r="E28" s="32">
        <v>0.57296999999999998</v>
      </c>
      <c r="F28" s="32">
        <v>0.57526200000000005</v>
      </c>
      <c r="G28" s="32">
        <v>0.57512799999999997</v>
      </c>
      <c r="H28" s="32">
        <v>0.57895399999999997</v>
      </c>
      <c r="I28" s="32">
        <v>0.65158300000000002</v>
      </c>
      <c r="J28" s="32">
        <v>0.66956800000000005</v>
      </c>
    </row>
    <row r="29" spans="2:10" ht="17.25" customHeight="1" x14ac:dyDescent="0.25">
      <c r="B29" s="33" t="s">
        <v>37</v>
      </c>
      <c r="C29" s="32">
        <v>0.26502999999999999</v>
      </c>
      <c r="D29" s="32">
        <v>0.26086999999999999</v>
      </c>
      <c r="E29" s="32">
        <v>0.25620999999999999</v>
      </c>
      <c r="F29" s="32">
        <v>0.251967</v>
      </c>
      <c r="G29" s="32">
        <v>0.248362</v>
      </c>
      <c r="H29" s="32">
        <v>0.24302199999999999</v>
      </c>
      <c r="I29" s="32">
        <v>0.23534099999999999</v>
      </c>
      <c r="J29" s="32">
        <v>0.2266</v>
      </c>
    </row>
    <row r="30" spans="2:10" ht="13.5" customHeight="1" x14ac:dyDescent="0.25">
      <c r="B30" s="33" t="s">
        <v>38</v>
      </c>
      <c r="C30" s="32">
        <v>1.7094259999999999</v>
      </c>
      <c r="D30" s="32">
        <v>1.9071579999999999</v>
      </c>
      <c r="E30" s="32">
        <v>2.0311020000000002</v>
      </c>
      <c r="F30" s="32">
        <v>2.2111429999999999</v>
      </c>
      <c r="G30" s="32">
        <v>2.4199329999999999</v>
      </c>
      <c r="H30" s="32">
        <v>2.5392709999999994</v>
      </c>
      <c r="I30" s="32">
        <v>2.7043509999999999</v>
      </c>
      <c r="J30" s="32">
        <v>2.718</v>
      </c>
    </row>
    <row r="32" spans="2:10" x14ac:dyDescent="0.25">
      <c r="B32" s="34" t="s">
        <v>39</v>
      </c>
      <c r="C32" s="21">
        <v>2018</v>
      </c>
      <c r="D32" s="21">
        <v>2019</v>
      </c>
      <c r="E32" s="21">
        <v>2020</v>
      </c>
      <c r="F32" s="21">
        <v>2021</v>
      </c>
      <c r="G32" s="21">
        <v>2022</v>
      </c>
      <c r="H32" s="21">
        <v>2023</v>
      </c>
      <c r="I32" s="21">
        <v>2024</v>
      </c>
      <c r="J32" s="21">
        <v>2025</v>
      </c>
    </row>
    <row r="33" spans="2:10" x14ac:dyDescent="0.25">
      <c r="B33" s="33" t="s">
        <v>35</v>
      </c>
      <c r="C33" s="28">
        <v>20.023164137999999</v>
      </c>
      <c r="D33" s="28">
        <v>20.057072293000001</v>
      </c>
      <c r="E33" s="28">
        <v>16.299723160999999</v>
      </c>
      <c r="F33" s="28">
        <v>16.977599523999999</v>
      </c>
      <c r="G33" s="28">
        <v>18.707807312</v>
      </c>
      <c r="H33" s="28">
        <v>14.991510024</v>
      </c>
      <c r="I33" s="28">
        <v>13.163495531000001</v>
      </c>
      <c r="J33" s="28">
        <v>12.252325000000001</v>
      </c>
    </row>
    <row r="34" spans="2:10" x14ac:dyDescent="0.25">
      <c r="B34" s="33" t="s">
        <v>36</v>
      </c>
      <c r="C34" s="28">
        <v>35.920409583999998</v>
      </c>
      <c r="D34" s="28">
        <v>35.108529924000003</v>
      </c>
      <c r="E34" s="28">
        <v>33.258732629000001</v>
      </c>
      <c r="F34" s="28">
        <v>36.157538934999998</v>
      </c>
      <c r="G34" s="28">
        <v>34.635131899999998</v>
      </c>
      <c r="H34" s="28">
        <v>34.170191312999997</v>
      </c>
      <c r="I34" s="28">
        <v>42.088128363000003</v>
      </c>
      <c r="J34" s="28">
        <v>44.227139999999999</v>
      </c>
    </row>
    <row r="35" spans="2:10" x14ac:dyDescent="0.25">
      <c r="B35" s="33" t="s">
        <v>37</v>
      </c>
      <c r="C35" s="28">
        <v>10.166854592</v>
      </c>
      <c r="D35" s="28">
        <v>9.7897467989999996</v>
      </c>
      <c r="E35" s="28">
        <v>9.5328398500000002</v>
      </c>
      <c r="F35" s="28">
        <v>10.633505803</v>
      </c>
      <c r="G35" s="28">
        <v>14.961729688</v>
      </c>
      <c r="H35" s="28">
        <v>14.904794694</v>
      </c>
      <c r="I35" s="28">
        <v>10.591497899</v>
      </c>
      <c r="J35" s="28">
        <v>10.185790000000001</v>
      </c>
    </row>
    <row r="36" spans="2:10" x14ac:dyDescent="0.25">
      <c r="B36" s="33" t="s">
        <v>38</v>
      </c>
      <c r="C36" s="28">
        <v>10.695622704</v>
      </c>
      <c r="D36" s="28">
        <v>12.824697194000001</v>
      </c>
      <c r="E36" s="28">
        <v>13.016829956</v>
      </c>
      <c r="F36" s="28">
        <v>16.301886694</v>
      </c>
      <c r="G36" s="28">
        <v>18.880811916999999</v>
      </c>
      <c r="H36" s="28">
        <v>20.362772488944866</v>
      </c>
      <c r="I36" s="28">
        <v>22.340356559</v>
      </c>
      <c r="J36" s="28">
        <v>23.084998879</v>
      </c>
    </row>
  </sheetData>
  <pageMargins left="0.7" right="0.7" top="0.75" bottom="0.75" header="0.3" footer="0.3"/>
  <pageSetup paperSize="9" scale="34"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9"/>
  <sheetViews>
    <sheetView showGridLines="0" zoomScale="115" zoomScaleNormal="115" workbookViewId="0">
      <selection activeCell="K4" sqref="K4"/>
    </sheetView>
  </sheetViews>
  <sheetFormatPr baseColWidth="10" defaultRowHeight="15" x14ac:dyDescent="0.25"/>
  <cols>
    <col min="1" max="1" width="2.5703125" customWidth="1"/>
    <col min="2" max="2" width="51.140625" customWidth="1"/>
    <col min="3" max="3" width="13.7109375" customWidth="1"/>
    <col min="4" max="4" width="10.7109375" customWidth="1"/>
    <col min="5" max="5" width="14.140625" customWidth="1"/>
    <col min="7" max="7" width="13.85546875" customWidth="1"/>
  </cols>
  <sheetData>
    <row r="1" spans="1:8" ht="16.5" thickBot="1" x14ac:dyDescent="0.3">
      <c r="B1" s="59" t="s">
        <v>87</v>
      </c>
      <c r="C1" s="6"/>
      <c r="D1" s="11"/>
      <c r="E1" s="11"/>
      <c r="F1" s="11"/>
      <c r="G1" s="6"/>
    </row>
    <row r="2" spans="1:8" ht="39" customHeight="1" thickBot="1" x14ac:dyDescent="0.3">
      <c r="B2" s="110" t="s">
        <v>12</v>
      </c>
      <c r="C2" s="110" t="s">
        <v>40</v>
      </c>
      <c r="D2" s="112" t="s">
        <v>13</v>
      </c>
      <c r="E2" s="113"/>
      <c r="F2" s="113"/>
      <c r="G2" s="110" t="s">
        <v>21</v>
      </c>
      <c r="H2" s="110" t="s">
        <v>19</v>
      </c>
    </row>
    <row r="3" spans="1:8" ht="15.75" thickBot="1" x14ac:dyDescent="0.3">
      <c r="A3" s="6"/>
      <c r="B3" s="111"/>
      <c r="C3" s="111"/>
      <c r="D3" s="66">
        <v>2025</v>
      </c>
      <c r="E3" s="67">
        <v>2024</v>
      </c>
      <c r="F3" s="66">
        <v>2023</v>
      </c>
      <c r="G3" s="111"/>
      <c r="H3" s="111"/>
    </row>
    <row r="4" spans="1:8" ht="15.75" thickBot="1" x14ac:dyDescent="0.3">
      <c r="A4" s="12"/>
      <c r="B4" s="60" t="s">
        <v>25</v>
      </c>
      <c r="C4" s="58">
        <v>3.2239155920281362</v>
      </c>
      <c r="D4" s="68">
        <v>176.1</v>
      </c>
      <c r="E4" s="29">
        <v>170.6</v>
      </c>
      <c r="F4" s="69">
        <v>180.8</v>
      </c>
      <c r="G4" s="70">
        <v>70.5</v>
      </c>
      <c r="H4" s="80" t="s">
        <v>56</v>
      </c>
    </row>
    <row r="5" spans="1:8" ht="15.75" thickBot="1" x14ac:dyDescent="0.3">
      <c r="A5" s="6"/>
      <c r="B5" s="61" t="s">
        <v>45</v>
      </c>
      <c r="C5" s="71">
        <v>146.15384615384613</v>
      </c>
      <c r="D5" s="72">
        <v>38.4</v>
      </c>
      <c r="E5" s="71">
        <v>15.6</v>
      </c>
      <c r="F5" s="73">
        <v>16.100000000000001</v>
      </c>
      <c r="G5" s="73">
        <v>12.7</v>
      </c>
      <c r="H5" s="81">
        <v>248</v>
      </c>
    </row>
    <row r="6" spans="1:8" ht="15.75" thickBot="1" x14ac:dyDescent="0.3">
      <c r="A6" s="12"/>
      <c r="B6" s="62" t="s">
        <v>44</v>
      </c>
      <c r="C6" s="29">
        <v>-11.103938024531965</v>
      </c>
      <c r="D6" s="68">
        <v>137.69999999999999</v>
      </c>
      <c r="E6" s="29">
        <v>154.9</v>
      </c>
      <c r="F6" s="69">
        <v>164.7</v>
      </c>
      <c r="G6" s="69">
        <v>57.8</v>
      </c>
      <c r="H6" s="82" t="s">
        <v>57</v>
      </c>
    </row>
    <row r="7" spans="1:8" x14ac:dyDescent="0.25">
      <c r="A7" s="6"/>
      <c r="B7" s="63" t="s">
        <v>46</v>
      </c>
      <c r="C7" s="71">
        <v>-10.069444444444452</v>
      </c>
      <c r="D7" s="72">
        <v>51.8</v>
      </c>
      <c r="E7" s="71">
        <v>57.6</v>
      </c>
      <c r="F7" s="73">
        <v>59.9</v>
      </c>
      <c r="G7" s="73">
        <v>17.7</v>
      </c>
      <c r="H7" s="81">
        <v>654</v>
      </c>
    </row>
    <row r="8" spans="1:8" x14ac:dyDescent="0.25">
      <c r="A8" s="6"/>
      <c r="B8" s="61" t="s">
        <v>47</v>
      </c>
      <c r="C8" s="71">
        <v>-13.513513513513512</v>
      </c>
      <c r="D8" s="72">
        <v>35.200000000000003</v>
      </c>
      <c r="E8" s="71">
        <v>40.700000000000003</v>
      </c>
      <c r="F8" s="73">
        <v>44.6</v>
      </c>
      <c r="G8" s="73">
        <v>14.7</v>
      </c>
      <c r="H8" s="81">
        <v>153</v>
      </c>
    </row>
    <row r="9" spans="1:8" x14ac:dyDescent="0.25">
      <c r="A9" s="6"/>
      <c r="B9" s="64" t="s">
        <v>48</v>
      </c>
      <c r="C9" s="74">
        <v>-15.822784810126581</v>
      </c>
      <c r="D9" s="75">
        <v>26.6</v>
      </c>
      <c r="E9" s="74">
        <v>31.6</v>
      </c>
      <c r="F9" s="76">
        <v>34.1</v>
      </c>
      <c r="G9" s="76">
        <v>11.9</v>
      </c>
      <c r="H9" s="83">
        <v>117</v>
      </c>
    </row>
    <row r="10" spans="1:8" x14ac:dyDescent="0.25">
      <c r="A10" s="6"/>
      <c r="B10" s="61" t="s">
        <v>49</v>
      </c>
      <c r="C10" s="71">
        <v>-4.8387096774193656</v>
      </c>
      <c r="D10" s="72">
        <v>17.7</v>
      </c>
      <c r="E10" s="71">
        <v>18.600000000000001</v>
      </c>
      <c r="F10" s="73">
        <v>22</v>
      </c>
      <c r="G10" s="73">
        <v>9.1</v>
      </c>
      <c r="H10" s="81">
        <v>499</v>
      </c>
    </row>
    <row r="11" spans="1:8" x14ac:dyDescent="0.25">
      <c r="A11" s="6"/>
      <c r="B11" s="61" t="s">
        <v>50</v>
      </c>
      <c r="C11" s="71">
        <v>-7.1428571428571495</v>
      </c>
      <c r="D11" s="72">
        <v>15.6</v>
      </c>
      <c r="E11" s="71">
        <v>16.8</v>
      </c>
      <c r="F11" s="73">
        <v>17.3</v>
      </c>
      <c r="G11" s="73">
        <v>5.4</v>
      </c>
      <c r="H11" s="81">
        <v>279</v>
      </c>
    </row>
    <row r="12" spans="1:8" x14ac:dyDescent="0.25">
      <c r="A12" s="6"/>
      <c r="B12" s="61" t="s">
        <v>51</v>
      </c>
      <c r="C12" s="71">
        <v>2.298850574712656</v>
      </c>
      <c r="D12" s="72">
        <v>8.9</v>
      </c>
      <c r="E12" s="71">
        <v>8.6999999999999993</v>
      </c>
      <c r="F12" s="73">
        <v>8.6999999999999993</v>
      </c>
      <c r="G12" s="73">
        <v>4.0999999999999996</v>
      </c>
      <c r="H12" s="81">
        <v>631</v>
      </c>
    </row>
    <row r="13" spans="1:8" x14ac:dyDescent="0.25">
      <c r="A13" s="6"/>
      <c r="B13" s="61" t="s">
        <v>52</v>
      </c>
      <c r="C13" s="71">
        <v>-88.695652173913047</v>
      </c>
      <c r="D13" s="72">
        <v>1.3</v>
      </c>
      <c r="E13" s="71">
        <v>11.5</v>
      </c>
      <c r="F13" s="73">
        <v>9.3000000000000007</v>
      </c>
      <c r="G13" s="73">
        <v>3.1</v>
      </c>
      <c r="H13" s="81">
        <v>113</v>
      </c>
    </row>
    <row r="14" spans="1:8" x14ac:dyDescent="0.25">
      <c r="A14" s="6"/>
      <c r="B14" s="61" t="s">
        <v>53</v>
      </c>
      <c r="C14" s="71">
        <v>-3.9215686274509665</v>
      </c>
      <c r="D14" s="72">
        <v>4.9000000000000004</v>
      </c>
      <c r="E14" s="71">
        <v>5.0999999999999996</v>
      </c>
      <c r="F14" s="73">
        <v>4.5</v>
      </c>
      <c r="G14" s="73">
        <v>1.9</v>
      </c>
      <c r="H14" s="81">
        <v>92</v>
      </c>
    </row>
    <row r="15" spans="1:8" x14ac:dyDescent="0.25">
      <c r="B15" s="61" t="s">
        <v>54</v>
      </c>
      <c r="C15" s="71">
        <v>-22.727272727272734</v>
      </c>
      <c r="D15" s="72">
        <v>1.7</v>
      </c>
      <c r="E15" s="71">
        <v>2.2000000000000002</v>
      </c>
      <c r="F15" s="73">
        <v>2.5</v>
      </c>
      <c r="G15" s="73">
        <v>0.7</v>
      </c>
      <c r="H15" s="81">
        <v>35.1</v>
      </c>
    </row>
    <row r="16" spans="1:8" ht="15.75" thickBot="1" x14ac:dyDescent="0.3">
      <c r="B16" s="65" t="s">
        <v>55</v>
      </c>
      <c r="C16" s="77">
        <v>-6.2</v>
      </c>
      <c r="D16" s="78">
        <v>0.7</v>
      </c>
      <c r="E16" s="77">
        <v>0.7</v>
      </c>
      <c r="F16" s="79">
        <v>0.7</v>
      </c>
      <c r="G16" s="79">
        <v>1</v>
      </c>
      <c r="H16" s="84">
        <v>130</v>
      </c>
    </row>
    <row r="17" spans="2:2" x14ac:dyDescent="0.25">
      <c r="B17" s="10" t="s">
        <v>74</v>
      </c>
    </row>
    <row r="18" spans="2:2" x14ac:dyDescent="0.25">
      <c r="B18" s="10" t="s">
        <v>73</v>
      </c>
    </row>
    <row r="19" spans="2:2" x14ac:dyDescent="0.25">
      <c r="B19" s="6"/>
    </row>
  </sheetData>
  <mergeCells count="5">
    <mergeCell ref="B2:B3"/>
    <mergeCell ref="C2:C3"/>
    <mergeCell ref="D2:F2"/>
    <mergeCell ref="G2:G3"/>
    <mergeCell ref="H2:H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G22"/>
  <sheetViews>
    <sheetView showGridLines="0" zoomScale="110" zoomScaleNormal="110" workbookViewId="0">
      <selection activeCell="E21" sqref="E21"/>
    </sheetView>
  </sheetViews>
  <sheetFormatPr baseColWidth="10" defaultRowHeight="15" x14ac:dyDescent="0.25"/>
  <cols>
    <col min="1" max="1" width="3" customWidth="1"/>
    <col min="2" max="2" width="44.28515625" customWidth="1"/>
    <col min="3" max="3" width="14.85546875" customWidth="1"/>
    <col min="4" max="4" width="14.140625" customWidth="1"/>
    <col min="5" max="5" width="14.7109375" customWidth="1"/>
    <col min="6" max="6" width="15.140625" customWidth="1"/>
    <col min="7" max="7" width="11.5703125" bestFit="1" customWidth="1"/>
  </cols>
  <sheetData>
    <row r="1" spans="2:7" ht="19.5" thickBot="1" x14ac:dyDescent="0.35">
      <c r="B1" s="52" t="s">
        <v>43</v>
      </c>
      <c r="C1" s="6"/>
      <c r="D1" s="6"/>
      <c r="E1" s="6"/>
      <c r="F1" s="6"/>
      <c r="G1" s="6"/>
    </row>
    <row r="2" spans="2:7" ht="39" thickBot="1" x14ac:dyDescent="0.3">
      <c r="B2" s="53" t="s">
        <v>14</v>
      </c>
      <c r="C2" s="85" t="s">
        <v>19</v>
      </c>
      <c r="D2" s="85" t="s">
        <v>13</v>
      </c>
      <c r="E2" s="85" t="s">
        <v>20</v>
      </c>
      <c r="F2" s="86" t="s">
        <v>21</v>
      </c>
      <c r="G2" s="87" t="s">
        <v>22</v>
      </c>
    </row>
    <row r="3" spans="2:7" x14ac:dyDescent="0.25">
      <c r="B3" s="89" t="s">
        <v>15</v>
      </c>
      <c r="C3" s="54">
        <v>2604.8209999999999</v>
      </c>
      <c r="D3" s="54">
        <v>29.400839999999999</v>
      </c>
      <c r="E3" s="54">
        <v>-8.2009205873224715</v>
      </c>
      <c r="F3" s="54">
        <v>14.53956</v>
      </c>
      <c r="G3" s="55">
        <v>4.1034765455788698</v>
      </c>
    </row>
    <row r="4" spans="2:7" x14ac:dyDescent="0.25">
      <c r="B4" s="89" t="s">
        <v>16</v>
      </c>
      <c r="C4" s="54">
        <v>220.16639999999998</v>
      </c>
      <c r="D4" s="54">
        <v>45.806330000000003</v>
      </c>
      <c r="E4" s="54">
        <v>-7.8518857376443041</v>
      </c>
      <c r="F4" s="54">
        <v>18.939509999999999</v>
      </c>
      <c r="G4" s="55">
        <v>-1.2324362322589257</v>
      </c>
    </row>
    <row r="5" spans="2:7" x14ac:dyDescent="0.25">
      <c r="B5" s="89" t="s">
        <v>17</v>
      </c>
      <c r="C5" s="54">
        <v>8.674728</v>
      </c>
      <c r="D5" s="54">
        <v>41.411009999999997</v>
      </c>
      <c r="E5" s="54">
        <v>-1.2204145540452607</v>
      </c>
      <c r="F5" s="54">
        <v>16.780619999999999</v>
      </c>
      <c r="G5" s="55">
        <v>2.7198953985268384</v>
      </c>
    </row>
    <row r="6" spans="2:7" ht="15.75" thickBot="1" x14ac:dyDescent="0.3">
      <c r="B6" s="90" t="s">
        <v>18</v>
      </c>
      <c r="C6" s="56">
        <v>0.37095470000000003</v>
      </c>
      <c r="D6" s="56">
        <v>59.439439999999998</v>
      </c>
      <c r="E6" s="56">
        <v>26.75784332207629</v>
      </c>
      <c r="F6" s="56">
        <v>20.214479999999998</v>
      </c>
      <c r="G6" s="57">
        <v>3.1124278283703939</v>
      </c>
    </row>
    <row r="7" spans="2:7" ht="15.75" thickBot="1" x14ac:dyDescent="0.3">
      <c r="B7" s="91" t="s">
        <v>25</v>
      </c>
      <c r="C7" s="96">
        <v>2834.0330827000003</v>
      </c>
      <c r="D7" s="96">
        <v>176.05761999999999</v>
      </c>
      <c r="E7" s="96">
        <v>3.2283602147385309</v>
      </c>
      <c r="F7" s="96">
        <v>70.474170000000001</v>
      </c>
      <c r="G7" s="97">
        <v>2.013928485041665</v>
      </c>
    </row>
    <row r="8" spans="2:7" x14ac:dyDescent="0.25">
      <c r="B8" s="36"/>
    </row>
    <row r="9" spans="2:7" x14ac:dyDescent="0.25">
      <c r="B9" s="36"/>
    </row>
    <row r="10" spans="2:7" x14ac:dyDescent="0.25">
      <c r="B10" s="98" t="s">
        <v>85</v>
      </c>
    </row>
    <row r="11" spans="2:7" x14ac:dyDescent="0.25">
      <c r="B11" s="10" t="s">
        <v>74</v>
      </c>
    </row>
    <row r="12" spans="2:7" x14ac:dyDescent="0.25">
      <c r="B12" s="10" t="s">
        <v>75</v>
      </c>
    </row>
    <row r="19" spans="3:6" x14ac:dyDescent="0.25">
      <c r="C19" s="35"/>
      <c r="D19" s="35"/>
      <c r="E19" s="35"/>
      <c r="F19" s="35"/>
    </row>
    <row r="20" spans="3:6" x14ac:dyDescent="0.25">
      <c r="C20" s="35"/>
      <c r="D20" s="35"/>
      <c r="E20" s="35"/>
      <c r="F20" s="35"/>
    </row>
    <row r="21" spans="3:6" x14ac:dyDescent="0.25">
      <c r="C21" s="35"/>
      <c r="D21" s="35"/>
      <c r="E21" s="35"/>
      <c r="F21" s="35"/>
    </row>
    <row r="22" spans="3:6" x14ac:dyDescent="0.25">
      <c r="C22" s="35"/>
      <c r="D22" s="35"/>
      <c r="E22" s="35"/>
      <c r="F22" s="35"/>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EB0C4-38B7-49D0-B068-0E2CBA9152E1}">
  <dimension ref="A1:F15"/>
  <sheetViews>
    <sheetView showGridLines="0" zoomScaleNormal="100" workbookViewId="0"/>
  </sheetViews>
  <sheetFormatPr baseColWidth="10" defaultRowHeight="15" x14ac:dyDescent="0.25"/>
  <cols>
    <col min="1" max="1" width="2.5703125" customWidth="1"/>
    <col min="2" max="2" width="54.7109375" customWidth="1"/>
    <col min="3" max="3" width="17" customWidth="1"/>
    <col min="4" max="4" width="15.28515625" customWidth="1"/>
    <col min="5" max="5" width="16.7109375" customWidth="1"/>
    <col min="6" max="6" width="13.85546875" customWidth="1"/>
  </cols>
  <sheetData>
    <row r="1" spans="1:6" ht="19.5" thickBot="1" x14ac:dyDescent="0.35">
      <c r="B1" s="13" t="s">
        <v>86</v>
      </c>
      <c r="C1" s="11"/>
      <c r="D1" s="11"/>
      <c r="E1" s="11"/>
      <c r="F1" s="11"/>
    </row>
    <row r="2" spans="1:6" ht="75.75" thickBot="1" x14ac:dyDescent="0.3">
      <c r="A2" s="12"/>
      <c r="B2" s="92" t="s">
        <v>23</v>
      </c>
      <c r="C2" s="88" t="s">
        <v>24</v>
      </c>
      <c r="D2" s="88" t="s">
        <v>58</v>
      </c>
      <c r="E2" s="88" t="s">
        <v>59</v>
      </c>
      <c r="F2" s="88" t="s">
        <v>60</v>
      </c>
    </row>
    <row r="3" spans="1:6" ht="16.5" thickBot="1" x14ac:dyDescent="0.3">
      <c r="A3" s="12"/>
      <c r="B3" s="93" t="s">
        <v>25</v>
      </c>
      <c r="C3" s="14">
        <v>397299</v>
      </c>
      <c r="D3" s="44">
        <v>-50.298485056982379</v>
      </c>
      <c r="E3" s="17">
        <v>13131983751</v>
      </c>
      <c r="F3" s="44">
        <v>-0.18532163986288594</v>
      </c>
    </row>
    <row r="4" spans="1:6" ht="15.75" x14ac:dyDescent="0.25">
      <c r="A4" s="12"/>
      <c r="B4" s="94" t="s">
        <v>26</v>
      </c>
      <c r="C4" s="15">
        <v>21979</v>
      </c>
      <c r="D4" s="45">
        <v>-1.5895047909017641</v>
      </c>
      <c r="E4" s="18">
        <v>7686835256</v>
      </c>
      <c r="F4" s="45">
        <v>-5.4450746207625569</v>
      </c>
    </row>
    <row r="5" spans="1:6" ht="15.75" x14ac:dyDescent="0.25">
      <c r="A5" s="12"/>
      <c r="B5" s="94" t="s">
        <v>61</v>
      </c>
      <c r="C5" s="15">
        <v>178367</v>
      </c>
      <c r="D5" s="45">
        <v>13.132524007053062</v>
      </c>
      <c r="E5" s="18">
        <v>1813412848</v>
      </c>
      <c r="F5" s="45">
        <v>10.844072770790573</v>
      </c>
    </row>
    <row r="6" spans="1:6" ht="15.75" x14ac:dyDescent="0.25">
      <c r="A6" s="12"/>
      <c r="B6" s="94" t="s">
        <v>27</v>
      </c>
      <c r="C6" s="15">
        <v>222</v>
      </c>
      <c r="D6" s="45">
        <v>1.3698630136986301</v>
      </c>
      <c r="E6" s="18">
        <v>721967991</v>
      </c>
      <c r="F6" s="45">
        <v>5.5349030770377965</v>
      </c>
    </row>
    <row r="7" spans="1:6" ht="15.75" x14ac:dyDescent="0.25">
      <c r="A7" s="12"/>
      <c r="B7" s="94" t="s">
        <v>28</v>
      </c>
      <c r="C7" s="15">
        <v>2355</v>
      </c>
      <c r="D7" s="45">
        <v>-1.5056461731493098</v>
      </c>
      <c r="E7" s="18">
        <v>510318253</v>
      </c>
      <c r="F7" s="45">
        <v>-9.5247630075033349</v>
      </c>
    </row>
    <row r="8" spans="1:6" ht="16.5" thickBot="1" x14ac:dyDescent="0.3">
      <c r="A8" s="12"/>
      <c r="B8" s="95" t="s">
        <v>29</v>
      </c>
      <c r="C8" s="16">
        <v>194376</v>
      </c>
      <c r="D8" s="46">
        <v>-68.48454189933264</v>
      </c>
      <c r="E8" s="19">
        <v>2399449403</v>
      </c>
      <c r="F8" s="46">
        <v>11.981247773185281</v>
      </c>
    </row>
    <row r="9" spans="1:6" ht="15.75" x14ac:dyDescent="0.25">
      <c r="A9" s="12"/>
      <c r="B9" s="10" t="s">
        <v>80</v>
      </c>
      <c r="C9" s="7"/>
      <c r="D9" s="8"/>
      <c r="E9" s="8"/>
      <c r="F9" s="8"/>
    </row>
    <row r="10" spans="1:6" x14ac:dyDescent="0.25">
      <c r="B10" s="10" t="s">
        <v>81</v>
      </c>
    </row>
    <row r="11" spans="1:6" x14ac:dyDescent="0.25">
      <c r="B11" s="10" t="s">
        <v>82</v>
      </c>
    </row>
    <row r="12" spans="1:6" x14ac:dyDescent="0.25">
      <c r="B12" s="10" t="s">
        <v>83</v>
      </c>
    </row>
    <row r="13" spans="1:6" x14ac:dyDescent="0.25">
      <c r="B13" s="10" t="s">
        <v>78</v>
      </c>
    </row>
    <row r="14" spans="1:6" x14ac:dyDescent="0.25">
      <c r="B14" s="10" t="s">
        <v>79</v>
      </c>
    </row>
    <row r="15" spans="1:6" x14ac:dyDescent="0.25">
      <c r="E15" s="6"/>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Lisez-moi</vt:lpstr>
      <vt:lpstr>Graphique 1</vt:lpstr>
      <vt:lpstr>Graphique 2</vt:lpstr>
      <vt:lpstr>Graphique 3</vt:lpstr>
      <vt:lpstr>Tableau 1</vt:lpstr>
      <vt:lpstr>Tableau 2</vt:lpstr>
      <vt:lpstr>Tableau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arnal</dc:creator>
  <cp:lastModifiedBy>Thomas PEQUIGNOT</cp:lastModifiedBy>
  <cp:lastPrinted>2022-04-19T09:46:44Z</cp:lastPrinted>
  <dcterms:created xsi:type="dcterms:W3CDTF">2021-09-06T13:55:16Z</dcterms:created>
  <dcterms:modified xsi:type="dcterms:W3CDTF">2026-09-29T14:14:50Z</dcterms:modified>
</cp:coreProperties>
</file>